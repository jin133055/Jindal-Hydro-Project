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word Master" sheetId="2" state="visible" r:id="rId2"/>
    <sheet xmlns:r="http://schemas.openxmlformats.org/officeDocument/2006/relationships" name="Rank Tracker" sheetId="3" state="visible" r:id="rId3"/>
    <sheet xmlns:r="http://schemas.openxmlformats.org/officeDocument/2006/relationships" name="Traffic &amp; Conversions" sheetId="4" state="visible" r:id="rId4"/>
    <sheet xmlns:r="http://schemas.openxmlformats.org/officeDocument/2006/relationships" name="Competitor Audit" sheetId="5" state="visible" r:id="rId5"/>
    <sheet xmlns:r="http://schemas.openxmlformats.org/officeDocument/2006/relationships" name="Content Gaps" sheetId="6" state="visible" r:id="rId6"/>
    <sheet xmlns:r="http://schemas.openxmlformats.org/officeDocument/2006/relationships" name="Blog Pipeline" sheetId="7" state="visible" r:id="rId7"/>
    <sheet xmlns:r="http://schemas.openxmlformats.org/officeDocument/2006/relationships" name="Content Map" sheetId="8" state="visible" r:id="rId8"/>
    <sheet xmlns:r="http://schemas.openxmlformats.org/officeDocument/2006/relationships" name="Dashboard" sheetId="9" state="visible" r:id="rId9"/>
  </sheets>
  <definedNames>
    <definedName name="_xlnm._FilterDatabase" localSheetId="1" hidden="1">'Keyword Master'!$A$4:$N$265</definedName>
    <definedName name="_xlnm._FilterDatabase" localSheetId="2" hidden="1">'Rank Tracker'!$A$4:$I$265</definedName>
    <definedName name="_xlnm._FilterDatabase" localSheetId="7" hidden="1">'Content Map'!$A$4:$L$69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1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Cambria"/>
      <charset val="1"/>
      <family val="0"/>
      <i val="1"/>
      <color rgb="FF808080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i val="1"/>
      <color rgb="FFC8102E"/>
      <sz val="9"/>
    </font>
    <font>
      <name val="Arial"/>
      <charset val="1"/>
      <family val="0"/>
      <i val="1"/>
      <color rgb="FFC8102E"/>
      <sz val="9"/>
    </font>
    <font>
      <name val="Arial"/>
      <charset val="1"/>
      <family val="0"/>
      <i val="1"/>
      <color rgb="FFC8102E"/>
      <sz val="10"/>
    </font>
    <font>
      <name val="Arial"/>
      <charset val="1"/>
      <family val="0"/>
      <b val="1"/>
      <color rgb="FFC8102E"/>
      <sz val="10"/>
    </font>
    <font>
      <name val="Arial"/>
      <charset val="1"/>
      <family val="0"/>
      <b val="1"/>
      <color rgb="FF1F3A5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EAF0F6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AF0F6"/>
      </patternFill>
    </fill>
    <fill>
      <patternFill patternType="solid">
        <fgColor rgb="FFFFF2CC"/>
        <bgColor rgb="FFF2F2F2"/>
      </patternFill>
    </fill>
    <fill>
      <patternFill patternType="solid">
        <fgColor rgb="FFFFD9C7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EAF0F6"/>
      </patternFill>
    </fill>
    <fill>
      <patternFill patternType="solid">
        <fgColor rgb="FFFFC7CE"/>
        <bgColor rgb="FFFFD9C7"/>
      </patternFill>
    </fill>
    <fill>
      <patternFill patternType="solid">
        <fgColor rgb="FFDDEBF7"/>
        <bgColor rgb="FFEAF0F6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10" fontId="16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6" fillId="2" borderId="0" applyAlignment="1" pivotButton="0" quotePrefix="0" xfId="0">
      <alignment horizontal="general" vertical="bottom"/>
    </xf>
    <xf numFmtId="10" fontId="6" fillId="2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top" wrapText="1"/>
    </xf>
    <xf numFmtId="0" fontId="1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general" vertical="bottom"/>
    </xf>
    <xf numFmtId="3" fontId="6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10" fontId="16" fillId="0" borderId="0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6" fillId="2" borderId="0" applyAlignment="1" pivotButton="0" quotePrefix="0" xfId="0">
      <alignment horizontal="general" vertical="bottom"/>
    </xf>
    <xf numFmtId="10" fontId="6" fillId="2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top" wrapText="1"/>
    </xf>
    <xf numFmtId="0" fontId="1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general" vertical="bottom"/>
    </xf>
    <xf numFmtId="3" fontId="6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CC07B"/>
          <bgColor rgb="FF000000"/>
        </patternFill>
      </fill>
    </dxf>
    <dxf>
      <fill>
        <patternFill patternType="solid">
          <fgColor rgb="FF76C37C"/>
          <bgColor rgb="FF000000"/>
        </patternFill>
      </fill>
    </dxf>
    <dxf>
      <fill>
        <patternFill patternType="solid">
          <fgColor rgb="FF80C67C"/>
          <bgColor rgb="FF000000"/>
        </patternFill>
      </fill>
    </dxf>
    <dxf>
      <fill>
        <patternFill patternType="solid">
          <fgColor rgb="FF8AC97D"/>
          <bgColor rgb="FF000000"/>
        </patternFill>
      </fill>
    </dxf>
    <dxf>
      <fill>
        <patternFill patternType="solid">
          <fgColor rgb="FF93CC7D"/>
          <bgColor rgb="FF000000"/>
        </patternFill>
      </fill>
    </dxf>
    <dxf>
      <fill>
        <patternFill patternType="solid">
          <fgColor rgb="FF9DCE7E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CEDC81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6E6C"/>
          <bgColor rgb="FF000000"/>
        </patternFill>
      </fill>
    </dxf>
    <dxf>
      <fill>
        <patternFill patternType="solid">
          <fgColor rgb="FFF9786E"/>
          <bgColor rgb="FF000000"/>
        </patternFill>
      </fill>
    </dxf>
    <dxf>
      <fill>
        <patternFill patternType="solid">
          <fgColor rgb="FFFA7D6F"/>
          <bgColor rgb="FF000000"/>
        </patternFill>
      </fill>
    </dxf>
    <dxf>
      <fill>
        <patternFill patternType="solid">
          <fgColor rgb="FFFA8771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B9173"/>
          <bgColor rgb="FF000000"/>
        </patternFill>
      </fill>
    </dxf>
    <dxf>
      <fill>
        <patternFill patternType="solid">
          <fgColor rgb="FFFB9B75"/>
          <bgColor rgb="FF000000"/>
        </patternFill>
      </fill>
    </dxf>
    <dxf>
      <fill>
        <patternFill patternType="solid">
          <fgColor rgb="FFFBA076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FCAF79"/>
          <bgColor rgb="FF000000"/>
        </patternFill>
      </fill>
    </dxf>
    <dxf>
      <fill>
        <patternFill patternType="solid">
          <fgColor rgb="FFFDB47A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C37D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D280"/>
          <bgColor rgb="FF000000"/>
        </patternFill>
      </fill>
    </dxf>
    <dxf>
      <fill>
        <patternFill patternType="solid">
          <fgColor rgb="FFFED781"/>
          <bgColor rgb="FF000000"/>
        </patternFill>
      </fill>
    </dxf>
    <dxf>
      <fill>
        <patternFill patternType="solid">
          <fgColor rgb="FFFFDC82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FFE6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98E72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C6EFCE"/>
      <rgbColor rgb="FFFFEB9C"/>
      <rgbColor rgb="FFE2EFDA"/>
      <rgbColor rgb="FFFFD9C7"/>
      <rgbColor rgb="FFF2F2F2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Estimated Monthly Search Volume by Category (India)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Dashboard!G6</f>
              <strCache>
                <ptCount val="1"/>
                <pt idx="0">
                  <v>Est. Vol/mo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Dashboard!$E$7:$E$20</f>
              <strCache>
                <ptCount val="14"/>
                <pt idx="0">
                  <v>Balers</v>
                </pt>
                <pt idx="1">
                  <v>ELV / RVSF</v>
                </pt>
                <pt idx="2">
                  <v>Shears &amp; Nibblers</v>
                </pt>
                <pt idx="3">
                  <v>Shredders &amp; Crackers</v>
                </pt>
                <pt idx="4">
                  <v>Briquetting</v>
                </pt>
                <pt idx="5">
                  <v>Material Handling</v>
                </pt>
                <pt idx="6">
                  <v>Agriculture</v>
                </pt>
                <pt idx="7">
                  <v>Service &amp; Spares</v>
                </pt>
                <pt idx="8">
                  <v>Informational</v>
                </pt>
                <pt idx="9">
                  <v>Thought Leadership</v>
                </pt>
                <pt idx="10">
                  <v>Industry Verticals</v>
                </pt>
                <pt idx="11">
                  <v>Local SEO</v>
                </pt>
                <pt idx="12">
                  <v>Export</v>
                </pt>
                <pt idx="13">
                  <v>Long-tail Questions</v>
                </pt>
              </strCache>
            </strRef>
          </cat>
          <val>
            <numRef>
              <f>Dashboard!$G$7:$G$20</f>
              <numCache>
                <formatCode>#,##0</formatCode>
                <ptCount val="14"/>
                <pt idx="0">
                  <v>21050</v>
                </pt>
                <pt idx="1">
                  <v>9760</v>
                </pt>
                <pt idx="2">
                  <v>3250</v>
                </pt>
                <pt idx="3">
                  <v>5140</v>
                </pt>
                <pt idx="4">
                  <v>1590</v>
                </pt>
                <pt idx="5">
                  <v>3070</v>
                </pt>
                <pt idx="6">
                  <v>4450</v>
                </pt>
                <pt idx="7">
                  <v>1850</v>
                </pt>
                <pt idx="8">
                  <v>6580</v>
                </pt>
                <pt idx="9">
                  <v>8220</v>
                </pt>
                <pt idx="10">
                  <v>1370</v>
                </pt>
                <pt idx="11">
                  <v>4261</v>
                </pt>
                <pt idx="12">
                  <v>970</v>
                </pt>
                <pt idx="13">
                  <v>2230</v>
                </pt>
              </numCache>
            </numRef>
          </val>
        </ser>
        <gapWidth val="150"/>
        <overlap val="0"/>
        <axId val="71036523"/>
        <axId val="40984500"/>
      </barChart>
      <catAx>
        <axId val="7103652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0984500"/>
        <crosses val="autoZero"/>
        <auto val="1"/>
        <lblAlgn val="ctr"/>
        <lblOffset val="100"/>
        <noMultiLvlLbl val="0"/>
      </catAx>
      <valAx>
        <axId val="409845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103652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23</row>
      <rowOff>0</rowOff>
    </from>
    <to>
      <col>11</col>
      <colOff>455400</colOff>
      <row>42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53" min="1" max="1"/>
    <col width="32" customWidth="1" style="53" min="2" max="2"/>
    <col width="100" customWidth="1" style="53" min="3" max="3"/>
  </cols>
  <sheetData>
    <row r="2" ht="21.75" customHeight="1" s="54">
      <c r="B2" s="55" t="inlineStr">
        <is>
          <t>JHP SEO KEYWORD TRACKER  ·  v2</t>
        </is>
      </c>
    </row>
    <row r="3" ht="15" customHeight="1" s="54">
      <c r="B3" s="56" t="inlineStr">
        <is>
          <t>Jindal Hydro Projects Inc.  |  261 keywords  |  Built 3 Aug 2026</t>
        </is>
      </c>
    </row>
    <row r="5" ht="15" customHeight="1" s="54">
      <c r="B5" s="57" t="n"/>
      <c r="C5" s="58" t="n"/>
    </row>
    <row r="6" ht="15" customHeight="1" s="54">
      <c r="B6" s="59" t="inlineStr">
        <is>
          <t>⚠ READ THIS FIRST</t>
        </is>
      </c>
      <c r="C6" s="60" t="n"/>
    </row>
    <row r="7" ht="54" customHeight="1" s="54">
      <c r="B7" s="57" t="inlineStr">
        <is>
          <t>The website problem</t>
        </is>
      </c>
      <c r="C7" s="58" t="inlineStr">
        <is>
          <t>As of Aug 2026 JHP has NO owned website. jindalhydro.com redirects to jindalhydraulics.com (an IndiaMART-hosted seller microsite) and jindalhydroprojects.com is a TradeIndia-hosted microsite. Neither can host a blog, custom URLs, or schema markup. Until an owned site exists, blogs cannot be published and rankings cannot be built. See the SEO Strategy document in this folder.</t>
        </is>
      </c>
    </row>
    <row r="8" ht="40.5" customHeight="1" s="54">
      <c r="B8" s="57" t="inlineStr">
        <is>
          <t>What that means for this file</t>
        </is>
      </c>
      <c r="C8" s="58" t="inlineStr">
        <is>
          <t>Every sheet here still applies — the keyword research, priorities and competitor findings are all valid. But the Rank Tracker will stay empty until there is a site to rank. Treat this as the plan you execute the moment the site is live.</t>
        </is>
      </c>
    </row>
    <row r="9" ht="15" customHeight="1" s="54">
      <c r="B9" s="57" t="n"/>
      <c r="C9" s="58" t="n"/>
    </row>
    <row r="10" ht="15" customHeight="1" s="54">
      <c r="B10" s="59" t="inlineStr">
        <is>
          <t>SHEETS</t>
        </is>
      </c>
      <c r="C10" s="60" t="n"/>
    </row>
    <row r="11" ht="27.75" customHeight="1" s="54">
      <c r="B11" s="57" t="inlineStr">
        <is>
          <t>Keyword Master</t>
        </is>
      </c>
      <c r="C11" s="58" t="inlineStr">
        <is>
          <t>261 keywords across 14 categories. Intent, market, estimated volume, difficulty, and a computed Priority Score.</t>
        </is>
      </c>
    </row>
    <row r="12" ht="15" customHeight="1" s="54">
      <c r="B12" s="57" t="inlineStr">
        <is>
          <t>Rank Tracker</t>
        </is>
      </c>
      <c r="C12" s="58" t="inlineStr">
        <is>
          <t>One row per keyword, 26 dated weekly columns. Enter Google position each Monday.</t>
        </is>
      </c>
    </row>
    <row r="13" ht="15" customHeight="1" s="54">
      <c r="B13" s="57" t="inlineStr">
        <is>
          <t>Traffic &amp; Conversions</t>
        </is>
      </c>
      <c r="C13" s="58" t="inlineStr">
        <is>
          <t>Weekly clicks, impressions, CTR, position and enquiries per landing page.</t>
        </is>
      </c>
    </row>
    <row r="14" ht="27.75" customHeight="1" s="54">
      <c r="B14" s="57" t="inlineStr">
        <is>
          <t>Competitor Audit</t>
        </is>
      </c>
      <c r="C14" s="58" t="inlineStr">
        <is>
          <t>13 competitors audited Aug 2026 — platform, blog depth, URL structure, strengths, weaknesses, threat level.</t>
        </is>
      </c>
    </row>
    <row r="15" ht="15" customHeight="1" s="54">
      <c r="B15" s="57" t="inlineStr">
        <is>
          <t>Content Gaps</t>
        </is>
      </c>
      <c r="C15" s="58" t="inlineStr">
        <is>
          <t>12 topic areas nobody in the Indian market owns, scored by opportunity.</t>
        </is>
      </c>
    </row>
    <row r="16" ht="15" customHeight="1" s="54">
      <c r="B16" s="57" t="inlineStr">
        <is>
          <t>Content Map</t>
        </is>
      </c>
      <c r="C16" s="58" t="inlineStr">
        <is>
          <t>Blog-to-keyword mapping. Prevents two posts competing for one term.</t>
        </is>
      </c>
    </row>
    <row r="17" ht="15" customHeight="1" s="54">
      <c r="B17" s="57" t="inlineStr">
        <is>
          <t>Blog Pipeline</t>
        </is>
      </c>
      <c r="C17" s="58" t="inlineStr">
        <is>
          <t>Rolling calendar: 2 posts/day Mon-Sat, 1 deep-dive Sunday.</t>
        </is>
      </c>
    </row>
    <row r="18" ht="15" customHeight="1" s="54">
      <c r="B18" s="57" t="inlineStr">
        <is>
          <t>Dashboard</t>
        </is>
      </c>
      <c r="C18" s="58" t="inlineStr">
        <is>
          <t>Live metrics from every sheet.</t>
        </is>
      </c>
    </row>
    <row r="19" ht="15" customHeight="1" s="54">
      <c r="B19" s="57" t="n"/>
      <c r="C19" s="58" t="n"/>
    </row>
    <row r="20" ht="15" customHeight="1" s="54">
      <c r="B20" s="59" t="inlineStr">
        <is>
          <t>WEEKLY ROUTINE</t>
        </is>
      </c>
      <c r="C20" s="60" t="n"/>
    </row>
    <row r="21" ht="27.75" customHeight="1" s="54">
      <c r="B21" s="57" t="inlineStr">
        <is>
          <t>Monday</t>
        </is>
      </c>
      <c r="C21" s="58" t="inlineStr">
        <is>
          <t>Enter Google positions in Rank Tracker (yellow columns). Paste GSC clicks/impressions into Traffic &amp; Conversions.</t>
        </is>
      </c>
    </row>
    <row r="22" ht="15" customHeight="1" s="54">
      <c r="B22" s="57" t="inlineStr">
        <is>
          <t>Any day</t>
        </is>
      </c>
      <c r="C22" s="58" t="inlineStr">
        <is>
          <t>Update Content Map status as posts go live.</t>
        </is>
      </c>
    </row>
    <row r="23" ht="15" customHeight="1" s="54">
      <c r="B23" s="57" t="inlineStr">
        <is>
          <t>Monthly</t>
        </is>
      </c>
      <c r="C23" s="58" t="inlineStr">
        <is>
          <t>Re-check Competitor Audit — has anyone launched a blog or new product line?</t>
        </is>
      </c>
    </row>
    <row r="24" ht="15" customHeight="1" s="54">
      <c r="B24" s="57" t="n"/>
      <c r="C24" s="58" t="n"/>
    </row>
    <row r="25" ht="15" customHeight="1" s="54">
      <c r="B25" s="59" t="inlineStr">
        <is>
          <t>COLOUR CODE</t>
        </is>
      </c>
      <c r="C25" s="60" t="n"/>
    </row>
    <row r="26" ht="15" customHeight="1" s="54">
      <c r="B26" s="57" t="inlineStr">
        <is>
          <t>Yellow</t>
        </is>
      </c>
      <c r="C26" s="58" t="inlineStr">
        <is>
          <t>You type here.</t>
        </is>
      </c>
    </row>
    <row r="27" ht="15" customHeight="1" s="54">
      <c r="B27" s="57" t="inlineStr">
        <is>
          <t>Blue text</t>
        </is>
      </c>
      <c r="C27" s="58" t="inlineStr">
        <is>
          <t>Hardcoded research estimate — replace with live tool data.</t>
        </is>
      </c>
    </row>
    <row r="28" ht="15" customHeight="1" s="54">
      <c r="B28" s="57" t="inlineStr">
        <is>
          <t>Green text</t>
        </is>
      </c>
      <c r="C28" s="58" t="inlineStr">
        <is>
          <t>Reference to another sheet.</t>
        </is>
      </c>
    </row>
    <row r="29" ht="15" customHeight="1" s="54">
      <c r="B29" s="57" t="inlineStr">
        <is>
          <t>Black text</t>
        </is>
      </c>
      <c r="C29" s="58" t="inlineStr">
        <is>
          <t>Formula.</t>
        </is>
      </c>
    </row>
    <row r="30" ht="15" customHeight="1" s="54">
      <c r="B30" s="57" t="n"/>
      <c r="C30" s="58" t="n"/>
    </row>
    <row r="31" ht="15" customHeight="1" s="54">
      <c r="B31" s="59" t="inlineStr">
        <is>
          <t>DATA SOURCES &amp; LIMITS</t>
        </is>
      </c>
      <c r="C31" s="60" t="n"/>
    </row>
    <row r="32" ht="40.5" customHeight="1" s="54">
      <c r="B32" s="57" t="inlineStr">
        <is>
          <t>Search volumes</t>
        </is>
      </c>
      <c r="C32" s="58" t="inlineStr">
        <is>
          <t>ESTIMATES. Compiled Aug 2026 from competitor page-one analysis, IndiaMART/TradeIndia category demand and search-suggest patterns. Use for RELATIVE prioritisation only. Replace with Ahrefs, Semrush or Google Keyword Planner data when a tool is connected.</t>
        </is>
      </c>
    </row>
    <row r="33" ht="40.5" customHeight="1" s="54">
      <c r="B33" s="57" t="inlineStr">
        <is>
          <t>Difficulty (1-100)</t>
        </is>
      </c>
      <c r="C33" s="58" t="inlineStr">
        <is>
          <t>ESTIMATE of ranking difficulty from observed page-one competitor strength. Lower = easier. IndiaMART and TradeIndia dominate transactional head terms, which is why difficulty is high there and low on informational and long-tail terms.</t>
        </is>
      </c>
    </row>
    <row r="34" ht="15" customHeight="1" s="54">
      <c r="B34" s="57" t="inlineStr">
        <is>
          <t>Priority Score</t>
        </is>
      </c>
      <c r="C34" s="58" t="inlineStr">
        <is>
          <t>FORMULA: (Volume weight x 0.40) + (Ease x 0.35) + (Intent value x 0.25), scaled 0-100.</t>
        </is>
      </c>
    </row>
    <row r="35" ht="27.75" customHeight="1" s="54">
      <c r="B35" s="57" t="inlineStr">
        <is>
          <t>Competitor audit</t>
        </is>
      </c>
      <c r="C35" s="58" t="inlineStr">
        <is>
          <t>Manual audit of live sites, Aug 2026. Blog post counts are approximate — taken from visible pagination.</t>
        </is>
      </c>
    </row>
    <row r="36" ht="27.75" customHeight="1" s="54">
      <c r="B36" s="57" t="inlineStr">
        <is>
          <t>Connecting live data</t>
        </is>
      </c>
      <c r="C36" s="58" t="inlineStr">
        <is>
          <t>Column order matches a standard Google Search Console export, so live position and click data can be pasted or auto-filled once the Ahrefs / GSC connector is authorised.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3" min="1" max="1"/>
    <col width="48" customWidth="1" style="53" min="2" max="2"/>
    <col width="20" customWidth="1" style="53" min="3" max="3"/>
    <col width="17" customWidth="1" style="53" min="4" max="4"/>
    <col width="14" customWidth="1" style="53" min="5" max="6"/>
    <col width="13" customWidth="1" style="53" min="7" max="7"/>
    <col width="14" customWidth="1" style="53" min="8" max="8"/>
    <col width="11" customWidth="1" style="53" min="9" max="9"/>
    <col width="8" customWidth="1" style="53" min="10" max="10"/>
    <col width="11" customWidth="1" style="53" min="11" max="11"/>
    <col width="13" customWidth="1" style="53" min="12" max="12"/>
    <col width="14" customWidth="1" style="53" min="13" max="13"/>
    <col width="34" customWidth="1" style="53" min="14" max="14"/>
  </cols>
  <sheetData>
    <row r="1" ht="17.25" customHeight="1" s="54">
      <c r="A1" s="61" t="inlineStr">
        <is>
          <t>KEYWORD MASTER — 267 KEYWORDS</t>
        </is>
      </c>
    </row>
    <row r="2" ht="15" customHeight="1" s="54">
      <c r="A2" s="56" t="inlineStr">
        <is>
          <t>Blue = hardcoded research estimate (replace with tool data). Priority Score is a formula. Filter by Category or Priority Band.</t>
        </is>
      </c>
    </row>
    <row r="4" ht="31.5" customHeight="1" s="54">
      <c r="A4" s="62" t="inlineStr">
        <is>
          <t>#</t>
        </is>
      </c>
      <c r="B4" s="62" t="inlineStr">
        <is>
          <t>Keyword</t>
        </is>
      </c>
      <c r="C4" s="62" t="inlineStr">
        <is>
          <t>Category</t>
        </is>
      </c>
      <c r="D4" s="62" t="inlineStr">
        <is>
          <t>Cluster</t>
        </is>
      </c>
      <c r="E4" s="62" t="inlineStr">
        <is>
          <t>Intent</t>
        </is>
      </c>
      <c r="F4" s="62" t="inlineStr">
        <is>
          <t>Market</t>
        </is>
      </c>
      <c r="G4" s="62" t="inlineStr">
        <is>
          <t>Est. Vol/mo (IN)</t>
        </is>
      </c>
      <c r="H4" s="62" t="inlineStr">
        <is>
          <t>Est. Vol/mo (Global)</t>
        </is>
      </c>
      <c r="I4" s="62" t="inlineStr">
        <is>
          <t>Difficulty</t>
        </is>
      </c>
      <c r="J4" s="62" t="inlineStr">
        <is>
          <t>Ease</t>
        </is>
      </c>
      <c r="K4" s="62" t="inlineStr">
        <is>
          <t>Intent Value</t>
        </is>
      </c>
      <c r="L4" s="62" t="inlineStr">
        <is>
          <t>Priority Score</t>
        </is>
      </c>
      <c r="M4" s="62" t="inlineStr">
        <is>
          <t>Priority Band</t>
        </is>
      </c>
      <c r="N4" s="62" t="inlineStr">
        <is>
          <t>Target Page / URL</t>
        </is>
      </c>
    </row>
    <row r="5" ht="15" customHeight="1" s="54">
      <c r="A5" s="63" t="n">
        <v>1</v>
      </c>
      <c r="B5" s="63" t="inlineStr">
        <is>
          <t>scrap baling press machine</t>
        </is>
      </c>
      <c r="C5" s="63" t="inlineStr">
        <is>
          <t>Balers</t>
        </is>
      </c>
      <c r="D5" s="63" t="inlineStr">
        <is>
          <t>Baler head</t>
        </is>
      </c>
      <c r="E5" s="63" t="inlineStr">
        <is>
          <t>Transactional</t>
        </is>
      </c>
      <c r="F5" s="63" t="inlineStr">
        <is>
          <t>India</t>
        </is>
      </c>
      <c r="G5" s="64" t="n">
        <v>1600</v>
      </c>
      <c r="H5" s="64" t="n">
        <v>2400</v>
      </c>
      <c r="I5" s="64" t="n">
        <v>42</v>
      </c>
      <c r="J5" s="65">
        <f>100-I5</f>
        <v/>
      </c>
      <c r="K5" s="65" t="n">
        <v>100</v>
      </c>
      <c r="L5" s="66">
        <f>ROUND((G5/MAX($G$5:$G$271)*100*0.4)+(J5*0.35)+(K5*0.25),1)</f>
        <v/>
      </c>
      <c r="M5" s="63">
        <f>IF(L5&gt;=62,"1 - Do now",IF(L5&gt;=52,"2 - Next",IF(L5&gt;=44,"3 - Later","4 - Backlog")))</f>
        <v/>
      </c>
      <c r="N5" s="63" t="inlineStr">
        <is>
          <t>/products/balers</t>
        </is>
      </c>
    </row>
    <row r="6" ht="15" customHeight="1" s="54">
      <c r="A6" s="67" t="n">
        <v>2</v>
      </c>
      <c r="B6" s="67" t="inlineStr">
        <is>
          <t>hydraulic baling press</t>
        </is>
      </c>
      <c r="C6" s="67" t="inlineStr">
        <is>
          <t>Balers</t>
        </is>
      </c>
      <c r="D6" s="67" t="inlineStr">
        <is>
          <t>Baler head</t>
        </is>
      </c>
      <c r="E6" s="67" t="inlineStr">
        <is>
          <t>Transactional</t>
        </is>
      </c>
      <c r="F6" s="67" t="inlineStr">
        <is>
          <t>India+Export</t>
        </is>
      </c>
      <c r="G6" s="68" t="n">
        <v>1300</v>
      </c>
      <c r="H6" s="68" t="n">
        <v>5400</v>
      </c>
      <c r="I6" s="68" t="n">
        <v>45</v>
      </c>
      <c r="J6" s="69">
        <f>100-I6</f>
        <v/>
      </c>
      <c r="K6" s="69" t="n">
        <v>100</v>
      </c>
      <c r="L6" s="70">
        <f>ROUND((G6/MAX($G$5:$G$271)*100*0.4)+(J6*0.35)+(K6*0.25),1)</f>
        <v/>
      </c>
      <c r="M6" s="67">
        <f>IF(L6&gt;=62,"1 - Do now",IF(L6&gt;=52,"2 - Next",IF(L6&gt;=44,"3 - Later","4 - Backlog")))</f>
        <v/>
      </c>
      <c r="N6" s="67" t="inlineStr">
        <is>
          <t>/products/balers</t>
        </is>
      </c>
    </row>
    <row r="7" ht="15" customHeight="1" s="54">
      <c r="A7" s="63" t="n">
        <v>3</v>
      </c>
      <c r="B7" s="63" t="inlineStr">
        <is>
          <t>baling press machine</t>
        </is>
      </c>
      <c r="C7" s="63" t="inlineStr">
        <is>
          <t>Balers</t>
        </is>
      </c>
      <c r="D7" s="63" t="inlineStr">
        <is>
          <t>Baler head</t>
        </is>
      </c>
      <c r="E7" s="63" t="inlineStr">
        <is>
          <t>Transactional</t>
        </is>
      </c>
      <c r="F7" s="63" t="inlineStr">
        <is>
          <t>India+Export</t>
        </is>
      </c>
      <c r="G7" s="64" t="n">
        <v>1900</v>
      </c>
      <c r="H7" s="64" t="n">
        <v>6600</v>
      </c>
      <c r="I7" s="64" t="n">
        <v>47</v>
      </c>
      <c r="J7" s="65">
        <f>100-I7</f>
        <v/>
      </c>
      <c r="K7" s="65" t="n">
        <v>100</v>
      </c>
      <c r="L7" s="66">
        <f>ROUND((G7/MAX($G$5:$G$271)*100*0.4)+(J7*0.35)+(K7*0.25),1)</f>
        <v/>
      </c>
      <c r="M7" s="63">
        <f>IF(L7&gt;=62,"1 - Do now",IF(L7&gt;=52,"2 - Next",IF(L7&gt;=44,"3 - Later","4 - Backlog")))</f>
        <v/>
      </c>
      <c r="N7" s="63" t="inlineStr">
        <is>
          <t>/products/balers</t>
        </is>
      </c>
    </row>
    <row r="8" ht="15" customHeight="1" s="54">
      <c r="A8" s="67" t="n">
        <v>4</v>
      </c>
      <c r="B8" s="67" t="inlineStr">
        <is>
          <t>scrap baler machine</t>
        </is>
      </c>
      <c r="C8" s="67" t="inlineStr">
        <is>
          <t>Balers</t>
        </is>
      </c>
      <c r="D8" s="67" t="inlineStr">
        <is>
          <t>Baler head</t>
        </is>
      </c>
      <c r="E8" s="67" t="inlineStr">
        <is>
          <t>Transactional</t>
        </is>
      </c>
      <c r="F8" s="67" t="inlineStr">
        <is>
          <t>India+Export</t>
        </is>
      </c>
      <c r="G8" s="68" t="n">
        <v>1100</v>
      </c>
      <c r="H8" s="68" t="n">
        <v>3600</v>
      </c>
      <c r="I8" s="68" t="n">
        <v>40</v>
      </c>
      <c r="J8" s="69">
        <f>100-I8</f>
        <v/>
      </c>
      <c r="K8" s="69" t="n">
        <v>100</v>
      </c>
      <c r="L8" s="70">
        <f>ROUND((G8/MAX($G$5:$G$271)*100*0.4)+(J8*0.35)+(K8*0.25),1)</f>
        <v/>
      </c>
      <c r="M8" s="67">
        <f>IF(L8&gt;=62,"1 - Do now",IF(L8&gt;=52,"2 - Next",IF(L8&gt;=44,"3 - Later","4 - Backlog")))</f>
        <v/>
      </c>
      <c r="N8" s="67" t="inlineStr">
        <is>
          <t>/products/balers</t>
        </is>
      </c>
    </row>
    <row r="9" ht="15" customHeight="1" s="54">
      <c r="A9" s="63" t="n">
        <v>5</v>
      </c>
      <c r="B9" s="63" t="inlineStr">
        <is>
          <t>scrap bundling machine</t>
        </is>
      </c>
      <c r="C9" s="63" t="inlineStr">
        <is>
          <t>Balers</t>
        </is>
      </c>
      <c r="D9" s="63" t="inlineStr">
        <is>
          <t>Baler head</t>
        </is>
      </c>
      <c r="E9" s="63" t="inlineStr">
        <is>
          <t>Transactional</t>
        </is>
      </c>
      <c r="F9" s="63" t="inlineStr">
        <is>
          <t>India</t>
        </is>
      </c>
      <c r="G9" s="64" t="n">
        <v>720</v>
      </c>
      <c r="H9" s="64" t="n">
        <v>880</v>
      </c>
      <c r="I9" s="64" t="n">
        <v>33</v>
      </c>
      <c r="J9" s="65">
        <f>100-I9</f>
        <v/>
      </c>
      <c r="K9" s="65" t="n">
        <v>100</v>
      </c>
      <c r="L9" s="66">
        <f>ROUND((G9/MAX($G$5:$G$271)*100*0.4)+(J9*0.35)+(K9*0.25),1)</f>
        <v/>
      </c>
      <c r="M9" s="63">
        <f>IF(L9&gt;=62,"1 - Do now",IF(L9&gt;=52,"2 - Next",IF(L9&gt;=44,"3 - Later","4 - Backlog")))</f>
        <v/>
      </c>
      <c r="N9" s="63" t="inlineStr">
        <is>
          <t>/products/balers</t>
        </is>
      </c>
    </row>
    <row r="10" ht="15" customHeight="1" s="54">
      <c r="A10" s="67" t="n">
        <v>6</v>
      </c>
      <c r="B10" s="67" t="inlineStr">
        <is>
          <t>hydraulic scrap baling press machine</t>
        </is>
      </c>
      <c r="C10" s="67" t="inlineStr">
        <is>
          <t>Balers</t>
        </is>
      </c>
      <c r="D10" s="67" t="inlineStr">
        <is>
          <t>Baler head</t>
        </is>
      </c>
      <c r="E10" s="67" t="inlineStr">
        <is>
          <t>Transactional</t>
        </is>
      </c>
      <c r="F10" s="67" t="inlineStr">
        <is>
          <t>India</t>
        </is>
      </c>
      <c r="G10" s="68" t="n">
        <v>720</v>
      </c>
      <c r="H10" s="68" t="n">
        <v>900</v>
      </c>
      <c r="I10" s="68" t="n">
        <v>34</v>
      </c>
      <c r="J10" s="69">
        <f>100-I10</f>
        <v/>
      </c>
      <c r="K10" s="69" t="n">
        <v>100</v>
      </c>
      <c r="L10" s="70">
        <f>ROUND((G10/MAX($G$5:$G$271)*100*0.4)+(J10*0.35)+(K10*0.25),1)</f>
        <v/>
      </c>
      <c r="M10" s="67">
        <f>IF(L10&gt;=62,"1 - Do now",IF(L10&gt;=52,"2 - Next",IF(L10&gt;=44,"3 - Later","4 - Backlog")))</f>
        <v/>
      </c>
      <c r="N10" s="67" t="inlineStr">
        <is>
          <t>/products/balers</t>
        </is>
      </c>
    </row>
    <row r="11" ht="15" customHeight="1" s="54">
      <c r="A11" s="63" t="n">
        <v>7</v>
      </c>
      <c r="B11" s="63" t="inlineStr">
        <is>
          <t>metal baler machine</t>
        </is>
      </c>
      <c r="C11" s="63" t="inlineStr">
        <is>
          <t>Balers</t>
        </is>
      </c>
      <c r="D11" s="63" t="inlineStr">
        <is>
          <t>Baler head</t>
        </is>
      </c>
      <c r="E11" s="63" t="inlineStr">
        <is>
          <t>Transactional</t>
        </is>
      </c>
      <c r="F11" s="63" t="inlineStr">
        <is>
          <t>India+Export</t>
        </is>
      </c>
      <c r="G11" s="64" t="n">
        <v>590</v>
      </c>
      <c r="H11" s="64" t="n">
        <v>2900</v>
      </c>
      <c r="I11" s="64" t="n">
        <v>38</v>
      </c>
      <c r="J11" s="65">
        <f>100-I11</f>
        <v/>
      </c>
      <c r="K11" s="65" t="n">
        <v>100</v>
      </c>
      <c r="L11" s="66">
        <f>ROUND((G11/MAX($G$5:$G$271)*100*0.4)+(J11*0.35)+(K11*0.25),1)</f>
        <v/>
      </c>
      <c r="M11" s="63">
        <f>IF(L11&gt;=62,"1 - Do now",IF(L11&gt;=52,"2 - Next",IF(L11&gt;=44,"3 - Later","4 - Backlog")))</f>
        <v/>
      </c>
      <c r="N11" s="63" t="inlineStr">
        <is>
          <t>/products/balers</t>
        </is>
      </c>
    </row>
    <row r="12" ht="15" customHeight="1" s="54">
      <c r="A12" s="67" t="n">
        <v>8</v>
      </c>
      <c r="B12" s="67" t="inlineStr">
        <is>
          <t>bundle press machine</t>
        </is>
      </c>
      <c r="C12" s="67" t="inlineStr">
        <is>
          <t>Balers</t>
        </is>
      </c>
      <c r="D12" s="67" t="inlineStr">
        <is>
          <t>Baler head</t>
        </is>
      </c>
      <c r="E12" s="67" t="inlineStr">
        <is>
          <t>Transactional</t>
        </is>
      </c>
      <c r="F12" s="67" t="inlineStr">
        <is>
          <t>India</t>
        </is>
      </c>
      <c r="G12" s="68" t="n">
        <v>480</v>
      </c>
      <c r="H12" s="68" t="n">
        <v>590</v>
      </c>
      <c r="I12" s="68" t="n">
        <v>30</v>
      </c>
      <c r="J12" s="69">
        <f>100-I12</f>
        <v/>
      </c>
      <c r="K12" s="69" t="n">
        <v>100</v>
      </c>
      <c r="L12" s="70">
        <f>ROUND((G12/MAX($G$5:$G$271)*100*0.4)+(J12*0.35)+(K12*0.25),1)</f>
        <v/>
      </c>
      <c r="M12" s="67">
        <f>IF(L12&gt;=62,"1 - Do now",IF(L12&gt;=52,"2 - Next",IF(L12&gt;=44,"3 - Later","4 - Backlog")))</f>
        <v/>
      </c>
      <c r="N12" s="67" t="inlineStr">
        <is>
          <t>/products/balers</t>
        </is>
      </c>
    </row>
    <row r="13" ht="15" customHeight="1" s="54">
      <c r="A13" s="63" t="n">
        <v>9</v>
      </c>
      <c r="B13" s="63" t="inlineStr">
        <is>
          <t>scrap compactor machine</t>
        </is>
      </c>
      <c r="C13" s="63" t="inlineStr">
        <is>
          <t>Balers</t>
        </is>
      </c>
      <c r="D13" s="63" t="inlineStr">
        <is>
          <t>Baler head</t>
        </is>
      </c>
      <c r="E13" s="63" t="inlineStr">
        <is>
          <t>Transactional</t>
        </is>
      </c>
      <c r="F13" s="63" t="inlineStr">
        <is>
          <t>India+Export</t>
        </is>
      </c>
      <c r="G13" s="64" t="n">
        <v>390</v>
      </c>
      <c r="H13" s="64" t="n">
        <v>1600</v>
      </c>
      <c r="I13" s="64" t="n">
        <v>32</v>
      </c>
      <c r="J13" s="65">
        <f>100-I13</f>
        <v/>
      </c>
      <c r="K13" s="65" t="n">
        <v>100</v>
      </c>
      <c r="L13" s="66">
        <f>ROUND((G13/MAX($G$5:$G$271)*100*0.4)+(J13*0.35)+(K13*0.25),1)</f>
        <v/>
      </c>
      <c r="M13" s="63">
        <f>IF(L13&gt;=62,"1 - Do now",IF(L13&gt;=52,"2 - Next",IF(L13&gt;=44,"3 - Later","4 - Backlog")))</f>
        <v/>
      </c>
      <c r="N13" s="63" t="inlineStr">
        <is>
          <t>/products/balers</t>
        </is>
      </c>
    </row>
    <row r="14" ht="15" customHeight="1" s="54">
      <c r="A14" s="67" t="n">
        <v>10</v>
      </c>
      <c r="B14" s="67" t="inlineStr">
        <is>
          <t>recycling baler machine</t>
        </is>
      </c>
      <c r="C14" s="67" t="inlineStr">
        <is>
          <t>Balers</t>
        </is>
      </c>
      <c r="D14" s="67" t="inlineStr">
        <is>
          <t>Baler head</t>
        </is>
      </c>
      <c r="E14" s="67" t="inlineStr">
        <is>
          <t>Transactional</t>
        </is>
      </c>
      <c r="F14" s="67" t="inlineStr">
        <is>
          <t>India+Export</t>
        </is>
      </c>
      <c r="G14" s="68" t="n">
        <v>320</v>
      </c>
      <c r="H14" s="68" t="n">
        <v>2400</v>
      </c>
      <c r="I14" s="68" t="n">
        <v>36</v>
      </c>
      <c r="J14" s="69">
        <f>100-I14</f>
        <v/>
      </c>
      <c r="K14" s="69" t="n">
        <v>100</v>
      </c>
      <c r="L14" s="70">
        <f>ROUND((G14/MAX($G$5:$G$271)*100*0.4)+(J14*0.35)+(K14*0.25),1)</f>
        <v/>
      </c>
      <c r="M14" s="67">
        <f>IF(L14&gt;=62,"1 - Do now",IF(L14&gt;=52,"2 - Next",IF(L14&gt;=44,"3 - Later","4 - Backlog")))</f>
        <v/>
      </c>
      <c r="N14" s="67" t="inlineStr">
        <is>
          <t>/products/balers</t>
        </is>
      </c>
    </row>
    <row r="15" ht="15" customHeight="1" s="54">
      <c r="A15" s="63" t="n">
        <v>11</v>
      </c>
      <c r="B15" s="63" t="inlineStr">
        <is>
          <t>scrap baler machine price</t>
        </is>
      </c>
      <c r="C15" s="63" t="inlineStr">
        <is>
          <t>Balers</t>
        </is>
      </c>
      <c r="D15" s="63" t="inlineStr">
        <is>
          <t>Baler price</t>
        </is>
      </c>
      <c r="E15" s="63" t="inlineStr">
        <is>
          <t>Transactional</t>
        </is>
      </c>
      <c r="F15" s="63" t="inlineStr">
        <is>
          <t>India</t>
        </is>
      </c>
      <c r="G15" s="64" t="n">
        <v>880</v>
      </c>
      <c r="H15" s="64" t="n">
        <v>1300</v>
      </c>
      <c r="I15" s="64" t="n">
        <v>31</v>
      </c>
      <c r="J15" s="65">
        <f>100-I15</f>
        <v/>
      </c>
      <c r="K15" s="65" t="n">
        <v>100</v>
      </c>
      <c r="L15" s="66">
        <f>ROUND((G15/MAX($G$5:$G$271)*100*0.4)+(J15*0.35)+(K15*0.25),1)</f>
        <v/>
      </c>
      <c r="M15" s="63">
        <f>IF(L15&gt;=62,"1 - Do now",IF(L15&gt;=52,"2 - Next",IF(L15&gt;=44,"3 - Later","4 - Backlog")))</f>
        <v/>
      </c>
      <c r="N15" s="63" t="inlineStr">
        <is>
          <t>/products/balers</t>
        </is>
      </c>
    </row>
    <row r="16" ht="15" customHeight="1" s="54">
      <c r="A16" s="67" t="n">
        <v>12</v>
      </c>
      <c r="B16" s="67" t="inlineStr">
        <is>
          <t>baling press machine price in india</t>
        </is>
      </c>
      <c r="C16" s="67" t="inlineStr">
        <is>
          <t>Balers</t>
        </is>
      </c>
      <c r="D16" s="67" t="inlineStr">
        <is>
          <t>Baler price</t>
        </is>
      </c>
      <c r="E16" s="67" t="inlineStr">
        <is>
          <t>Transactional</t>
        </is>
      </c>
      <c r="F16" s="67" t="inlineStr">
        <is>
          <t>India</t>
        </is>
      </c>
      <c r="G16" s="68" t="n">
        <v>720</v>
      </c>
      <c r="H16" s="68" t="n">
        <v>880</v>
      </c>
      <c r="I16" s="68" t="n">
        <v>29</v>
      </c>
      <c r="J16" s="69">
        <f>100-I16</f>
        <v/>
      </c>
      <c r="K16" s="69" t="n">
        <v>100</v>
      </c>
      <c r="L16" s="70">
        <f>ROUND((G16/MAX($G$5:$G$271)*100*0.4)+(J16*0.35)+(K16*0.25),1)</f>
        <v/>
      </c>
      <c r="M16" s="67">
        <f>IF(L16&gt;=62,"1 - Do now",IF(L16&gt;=52,"2 - Next",IF(L16&gt;=44,"3 - Later","4 - Backlog")))</f>
        <v/>
      </c>
      <c r="N16" s="67" t="inlineStr">
        <is>
          <t>/products/balers</t>
        </is>
      </c>
    </row>
    <row r="17" ht="15" customHeight="1" s="54">
      <c r="A17" s="63" t="n">
        <v>13</v>
      </c>
      <c r="B17" s="63" t="inlineStr">
        <is>
          <t>hydraulic baling press cost</t>
        </is>
      </c>
      <c r="C17" s="63" t="inlineStr">
        <is>
          <t>Balers</t>
        </is>
      </c>
      <c r="D17" s="63" t="inlineStr">
        <is>
          <t>Baler price</t>
        </is>
      </c>
      <c r="E17" s="63" t="inlineStr">
        <is>
          <t>Transactional</t>
        </is>
      </c>
      <c r="F17" s="63" t="inlineStr">
        <is>
          <t>India+Export</t>
        </is>
      </c>
      <c r="G17" s="64" t="n">
        <v>390</v>
      </c>
      <c r="H17" s="64" t="n">
        <v>720</v>
      </c>
      <c r="I17" s="64" t="n">
        <v>27</v>
      </c>
      <c r="J17" s="65">
        <f>100-I17</f>
        <v/>
      </c>
      <c r="K17" s="65" t="n">
        <v>100</v>
      </c>
      <c r="L17" s="66">
        <f>ROUND((G17/MAX($G$5:$G$271)*100*0.4)+(J17*0.35)+(K17*0.25),1)</f>
        <v/>
      </c>
      <c r="M17" s="63">
        <f>IF(L17&gt;=62,"1 - Do now",IF(L17&gt;=52,"2 - Next",IF(L17&gt;=44,"3 - Later","4 - Backlog")))</f>
        <v/>
      </c>
      <c r="N17" s="63" t="inlineStr">
        <is>
          <t>/products/balers</t>
        </is>
      </c>
    </row>
    <row r="18" ht="15" customHeight="1" s="54">
      <c r="A18" s="67" t="n">
        <v>14</v>
      </c>
      <c r="B18" s="67" t="inlineStr">
        <is>
          <t>scrap baling press machine price list</t>
        </is>
      </c>
      <c r="C18" s="67" t="inlineStr">
        <is>
          <t>Balers</t>
        </is>
      </c>
      <c r="D18" s="67" t="inlineStr">
        <is>
          <t>Baler price</t>
        </is>
      </c>
      <c r="E18" s="67" t="inlineStr">
        <is>
          <t>Transactional</t>
        </is>
      </c>
      <c r="F18" s="67" t="inlineStr">
        <is>
          <t>India</t>
        </is>
      </c>
      <c r="G18" s="68" t="n">
        <v>260</v>
      </c>
      <c r="H18" s="68" t="n">
        <v>320</v>
      </c>
      <c r="I18" s="68" t="n">
        <v>24</v>
      </c>
      <c r="J18" s="69">
        <f>100-I18</f>
        <v/>
      </c>
      <c r="K18" s="69" t="n">
        <v>100</v>
      </c>
      <c r="L18" s="70">
        <f>ROUND((G18/MAX($G$5:$G$271)*100*0.4)+(J18*0.35)+(K18*0.25),1)</f>
        <v/>
      </c>
      <c r="M18" s="67">
        <f>IF(L18&gt;=62,"1 - Do now",IF(L18&gt;=52,"2 - Next",IF(L18&gt;=44,"3 - Later","4 - Backlog")))</f>
        <v/>
      </c>
      <c r="N18" s="67" t="inlineStr">
        <is>
          <t>/products/balers</t>
        </is>
      </c>
    </row>
    <row r="19" ht="15" customHeight="1" s="54">
      <c r="A19" s="63" t="n">
        <v>15</v>
      </c>
      <c r="B19" s="63" t="inlineStr">
        <is>
          <t>second hand baling press machine for sale</t>
        </is>
      </c>
      <c r="C19" s="63" t="inlineStr">
        <is>
          <t>Balers</t>
        </is>
      </c>
      <c r="D19" s="63" t="inlineStr">
        <is>
          <t>Baler price</t>
        </is>
      </c>
      <c r="E19" s="63" t="inlineStr">
        <is>
          <t>Transactional</t>
        </is>
      </c>
      <c r="F19" s="63" t="inlineStr">
        <is>
          <t>India</t>
        </is>
      </c>
      <c r="G19" s="64" t="n">
        <v>480</v>
      </c>
      <c r="H19" s="64" t="n">
        <v>880</v>
      </c>
      <c r="I19" s="64" t="n">
        <v>26</v>
      </c>
      <c r="J19" s="65">
        <f>100-I19</f>
        <v/>
      </c>
      <c r="K19" s="65" t="n">
        <v>100</v>
      </c>
      <c r="L19" s="66">
        <f>ROUND((G19/MAX($G$5:$G$271)*100*0.4)+(J19*0.35)+(K19*0.25),1)</f>
        <v/>
      </c>
      <c r="M19" s="63">
        <f>IF(L19&gt;=62,"1 - Do now",IF(L19&gt;=52,"2 - Next",IF(L19&gt;=44,"3 - Later","4 - Backlog")))</f>
        <v/>
      </c>
      <c r="N19" s="63" t="inlineStr">
        <is>
          <t>/blog/used-vs-new-baler</t>
        </is>
      </c>
    </row>
    <row r="20" ht="15" customHeight="1" s="54">
      <c r="A20" s="67" t="n">
        <v>16</v>
      </c>
      <c r="B20" s="67" t="inlineStr">
        <is>
          <t>baling press manufacturer in india</t>
        </is>
      </c>
      <c r="C20" s="67" t="inlineStr">
        <is>
          <t>Balers</t>
        </is>
      </c>
      <c r="D20" s="67" t="inlineStr">
        <is>
          <t>Baler brand</t>
        </is>
      </c>
      <c r="E20" s="67" t="inlineStr">
        <is>
          <t>Transactional</t>
        </is>
      </c>
      <c r="F20" s="67" t="inlineStr">
        <is>
          <t>India</t>
        </is>
      </c>
      <c r="G20" s="68" t="n">
        <v>590</v>
      </c>
      <c r="H20" s="68" t="n">
        <v>720</v>
      </c>
      <c r="I20" s="68" t="n">
        <v>38</v>
      </c>
      <c r="J20" s="69">
        <f>100-I20</f>
        <v/>
      </c>
      <c r="K20" s="69" t="n">
        <v>100</v>
      </c>
      <c r="L20" s="70">
        <f>ROUND((G20/MAX($G$5:$G$271)*100*0.4)+(J20*0.35)+(K20*0.25),1)</f>
        <v/>
      </c>
      <c r="M20" s="67">
        <f>IF(L20&gt;=62,"1 - Do now",IF(L20&gt;=52,"2 - Next",IF(L20&gt;=44,"3 - Later","4 - Backlog")))</f>
        <v/>
      </c>
      <c r="N20" s="67" t="inlineStr">
        <is>
          <t>/about</t>
        </is>
      </c>
    </row>
    <row r="21" ht="15" customHeight="1" s="54">
      <c r="A21" s="63" t="n">
        <v>17</v>
      </c>
      <c r="B21" s="63" t="inlineStr">
        <is>
          <t>best scrap baling press manufacturer</t>
        </is>
      </c>
      <c r="C21" s="63" t="inlineStr">
        <is>
          <t>Balers</t>
        </is>
      </c>
      <c r="D21" s="63" t="inlineStr">
        <is>
          <t>Baler brand</t>
        </is>
      </c>
      <c r="E21" s="63" t="inlineStr">
        <is>
          <t>Commercial</t>
        </is>
      </c>
      <c r="F21" s="63" t="inlineStr">
        <is>
          <t>India+Export</t>
        </is>
      </c>
      <c r="G21" s="64" t="n">
        <v>260</v>
      </c>
      <c r="H21" s="64" t="n">
        <v>480</v>
      </c>
      <c r="I21" s="64" t="n">
        <v>30</v>
      </c>
      <c r="J21" s="65">
        <f>100-I21</f>
        <v/>
      </c>
      <c r="K21" s="65" t="n">
        <v>75</v>
      </c>
      <c r="L21" s="66">
        <f>ROUND((G21/MAX($G$5:$G$271)*100*0.4)+(J21*0.35)+(K21*0.25),1)</f>
        <v/>
      </c>
      <c r="M21" s="63">
        <f>IF(L21&gt;=62,"1 - Do now",IF(L21&gt;=52,"2 - Next",IF(L21&gt;=44,"3 - Later","4 - Backlog")))</f>
        <v/>
      </c>
      <c r="N21" s="63" t="inlineStr">
        <is>
          <t>/about</t>
        </is>
      </c>
    </row>
    <row r="22" ht="15" customHeight="1" s="54">
      <c r="A22" s="67" t="n">
        <v>18</v>
      </c>
      <c r="B22" s="67" t="inlineStr">
        <is>
          <t>scrap baling press supplier</t>
        </is>
      </c>
      <c r="C22" s="67" t="inlineStr">
        <is>
          <t>Balers</t>
        </is>
      </c>
      <c r="D22" s="67" t="inlineStr">
        <is>
          <t>Baler brand</t>
        </is>
      </c>
      <c r="E22" s="67" t="inlineStr">
        <is>
          <t>Transactional</t>
        </is>
      </c>
      <c r="F22" s="67" t="inlineStr">
        <is>
          <t>India+Export</t>
        </is>
      </c>
      <c r="G22" s="68" t="n">
        <v>320</v>
      </c>
      <c r="H22" s="68" t="n">
        <v>590</v>
      </c>
      <c r="I22" s="68" t="n">
        <v>28</v>
      </c>
      <c r="J22" s="69">
        <f>100-I22</f>
        <v/>
      </c>
      <c r="K22" s="69" t="n">
        <v>100</v>
      </c>
      <c r="L22" s="70">
        <f>ROUND((G22/MAX($G$5:$G$271)*100*0.4)+(J22*0.35)+(K22*0.25),1)</f>
        <v/>
      </c>
      <c r="M22" s="67">
        <f>IF(L22&gt;=62,"1 - Do now",IF(L22&gt;=52,"2 - Next",IF(L22&gt;=44,"3 - Later","4 - Backlog")))</f>
        <v/>
      </c>
      <c r="N22" s="67" t="inlineStr">
        <is>
          <t>/contact</t>
        </is>
      </c>
    </row>
    <row r="23" ht="15" customHeight="1" s="54">
      <c r="A23" s="63" t="n">
        <v>19</v>
      </c>
      <c r="B23" s="63" t="inlineStr">
        <is>
          <t>triple action baling press</t>
        </is>
      </c>
      <c r="C23" s="63" t="inlineStr">
        <is>
          <t>Balers</t>
        </is>
      </c>
      <c r="D23" s="63" t="inlineStr">
        <is>
          <t>Baler type</t>
        </is>
      </c>
      <c r="E23" s="63" t="inlineStr">
        <is>
          <t>Transactional</t>
        </is>
      </c>
      <c r="F23" s="63" t="inlineStr">
        <is>
          <t>India+Export</t>
        </is>
      </c>
      <c r="G23" s="64" t="n">
        <v>320</v>
      </c>
      <c r="H23" s="64" t="n">
        <v>480</v>
      </c>
      <c r="I23" s="64" t="n">
        <v>22</v>
      </c>
      <c r="J23" s="65">
        <f>100-I23</f>
        <v/>
      </c>
      <c r="K23" s="65" t="n">
        <v>100</v>
      </c>
      <c r="L23" s="66">
        <f>ROUND((G23/MAX($G$5:$G$271)*100*0.4)+(J23*0.35)+(K23*0.25),1)</f>
        <v/>
      </c>
      <c r="M23" s="63">
        <f>IF(L23&gt;=62,"1 - Do now",IF(L23&gt;=52,"2 - Next",IF(L23&gt;=44,"3 - Later","4 - Backlog")))</f>
        <v/>
      </c>
      <c r="N23" s="63" t="inlineStr">
        <is>
          <t>/products/triple-action-baler</t>
        </is>
      </c>
    </row>
    <row r="24" ht="15" customHeight="1" s="54">
      <c r="A24" s="67" t="n">
        <v>20</v>
      </c>
      <c r="B24" s="67" t="inlineStr">
        <is>
          <t>triple action baler machine price</t>
        </is>
      </c>
      <c r="C24" s="67" t="inlineStr">
        <is>
          <t>Balers</t>
        </is>
      </c>
      <c r="D24" s="67" t="inlineStr">
        <is>
          <t>Baler type</t>
        </is>
      </c>
      <c r="E24" s="67" t="inlineStr">
        <is>
          <t>Transactional</t>
        </is>
      </c>
      <c r="F24" s="67" t="inlineStr">
        <is>
          <t>India</t>
        </is>
      </c>
      <c r="G24" s="68" t="n">
        <v>210</v>
      </c>
      <c r="H24" s="68" t="n">
        <v>260</v>
      </c>
      <c r="I24" s="68" t="n">
        <v>19</v>
      </c>
      <c r="J24" s="69">
        <f>100-I24</f>
        <v/>
      </c>
      <c r="K24" s="69" t="n">
        <v>100</v>
      </c>
      <c r="L24" s="70">
        <f>ROUND((G24/MAX($G$5:$G$271)*100*0.4)+(J24*0.35)+(K24*0.25),1)</f>
        <v/>
      </c>
      <c r="M24" s="67">
        <f>IF(L24&gt;=62,"1 - Do now",IF(L24&gt;=52,"2 - Next",IF(L24&gt;=44,"3 - Later","4 - Backlog")))</f>
        <v/>
      </c>
      <c r="N24" s="67" t="inlineStr">
        <is>
          <t>/products/triple-action-baler</t>
        </is>
      </c>
    </row>
    <row r="25" ht="15" customHeight="1" s="54">
      <c r="A25" s="63" t="n">
        <v>21</v>
      </c>
      <c r="B25" s="63" t="inlineStr">
        <is>
          <t>mini triple action baler</t>
        </is>
      </c>
      <c r="C25" s="63" t="inlineStr">
        <is>
          <t>Balers</t>
        </is>
      </c>
      <c r="D25" s="63" t="inlineStr">
        <is>
          <t>Baler type</t>
        </is>
      </c>
      <c r="E25" s="63" t="inlineStr">
        <is>
          <t>Transactional</t>
        </is>
      </c>
      <c r="F25" s="63" t="inlineStr">
        <is>
          <t>India</t>
        </is>
      </c>
      <c r="G25" s="64" t="n">
        <v>170</v>
      </c>
      <c r="H25" s="64" t="n">
        <v>210</v>
      </c>
      <c r="I25" s="64" t="n">
        <v>15</v>
      </c>
      <c r="J25" s="65">
        <f>100-I25</f>
        <v/>
      </c>
      <c r="K25" s="65" t="n">
        <v>100</v>
      </c>
      <c r="L25" s="66">
        <f>ROUND((G25/MAX($G$5:$G$271)*100*0.4)+(J25*0.35)+(K25*0.25),1)</f>
        <v/>
      </c>
      <c r="M25" s="63">
        <f>IF(L25&gt;=62,"1 - Do now",IF(L25&gt;=52,"2 - Next",IF(L25&gt;=44,"3 - Later","4 - Backlog")))</f>
        <v/>
      </c>
      <c r="N25" s="63" t="inlineStr">
        <is>
          <t>/products/mini-triple-action-baler</t>
        </is>
      </c>
    </row>
    <row r="26" ht="15" customHeight="1" s="54">
      <c r="A26" s="67" t="n">
        <v>22</v>
      </c>
      <c r="B26" s="67" t="inlineStr">
        <is>
          <t>double action baling press</t>
        </is>
      </c>
      <c r="C26" s="67" t="inlineStr">
        <is>
          <t>Balers</t>
        </is>
      </c>
      <c r="D26" s="67" t="inlineStr">
        <is>
          <t>Baler type</t>
        </is>
      </c>
      <c r="E26" s="67" t="inlineStr">
        <is>
          <t>Transactional</t>
        </is>
      </c>
      <c r="F26" s="67" t="inlineStr">
        <is>
          <t>India+Export</t>
        </is>
      </c>
      <c r="G26" s="68" t="n">
        <v>260</v>
      </c>
      <c r="H26" s="68" t="n">
        <v>390</v>
      </c>
      <c r="I26" s="68" t="n">
        <v>21</v>
      </c>
      <c r="J26" s="69">
        <f>100-I26</f>
        <v/>
      </c>
      <c r="K26" s="69" t="n">
        <v>100</v>
      </c>
      <c r="L26" s="70">
        <f>ROUND((G26/MAX($G$5:$G$271)*100*0.4)+(J26*0.35)+(K26*0.25),1)</f>
        <v/>
      </c>
      <c r="M26" s="67">
        <f>IF(L26&gt;=62,"1 - Do now",IF(L26&gt;=52,"2 - Next",IF(L26&gt;=44,"3 - Later","4 - Backlog")))</f>
        <v/>
      </c>
      <c r="N26" s="67" t="inlineStr">
        <is>
          <t>/products/double-action-baler</t>
        </is>
      </c>
    </row>
    <row r="27" ht="15" customHeight="1" s="54">
      <c r="A27" s="63" t="n">
        <v>23</v>
      </c>
      <c r="B27" s="63" t="inlineStr">
        <is>
          <t>double action baler auto door</t>
        </is>
      </c>
      <c r="C27" s="63" t="inlineStr">
        <is>
          <t>Balers</t>
        </is>
      </c>
      <c r="D27" s="63" t="inlineStr">
        <is>
          <t>Baler type</t>
        </is>
      </c>
      <c r="E27" s="63" t="inlineStr">
        <is>
          <t>Transactional</t>
        </is>
      </c>
      <c r="F27" s="63" t="inlineStr">
        <is>
          <t>India</t>
        </is>
      </c>
      <c r="G27" s="64" t="n">
        <v>90</v>
      </c>
      <c r="H27" s="64" t="n">
        <v>140</v>
      </c>
      <c r="I27" s="64" t="n">
        <v>13</v>
      </c>
      <c r="J27" s="65">
        <f>100-I27</f>
        <v/>
      </c>
      <c r="K27" s="65" t="n">
        <v>100</v>
      </c>
      <c r="L27" s="66">
        <f>ROUND((G27/MAX($G$5:$G$271)*100*0.4)+(J27*0.35)+(K27*0.25),1)</f>
        <v/>
      </c>
      <c r="M27" s="63">
        <f>IF(L27&gt;=62,"1 - Do now",IF(L27&gt;=52,"2 - Next",IF(L27&gt;=44,"3 - Later","4 - Backlog")))</f>
        <v/>
      </c>
      <c r="N27" s="63" t="inlineStr">
        <is>
          <t>/products/double-action-baler-auto-door</t>
        </is>
      </c>
    </row>
    <row r="28" ht="15" customHeight="1" s="54">
      <c r="A28" s="67" t="n">
        <v>24</v>
      </c>
      <c r="B28" s="67" t="inlineStr">
        <is>
          <t>double action baler manual door</t>
        </is>
      </c>
      <c r="C28" s="67" t="inlineStr">
        <is>
          <t>Balers</t>
        </is>
      </c>
      <c r="D28" s="67" t="inlineStr">
        <is>
          <t>Baler type</t>
        </is>
      </c>
      <c r="E28" s="67" t="inlineStr">
        <is>
          <t>Transactional</t>
        </is>
      </c>
      <c r="F28" s="67" t="inlineStr">
        <is>
          <t>India</t>
        </is>
      </c>
      <c r="G28" s="68" t="n">
        <v>70</v>
      </c>
      <c r="H28" s="68" t="n">
        <v>110</v>
      </c>
      <c r="I28" s="68" t="n">
        <v>12</v>
      </c>
      <c r="J28" s="69">
        <f>100-I28</f>
        <v/>
      </c>
      <c r="K28" s="69" t="n">
        <v>100</v>
      </c>
      <c r="L28" s="70">
        <f>ROUND((G28/MAX($G$5:$G$271)*100*0.4)+(J28*0.35)+(K28*0.25),1)</f>
        <v/>
      </c>
      <c r="M28" s="67">
        <f>IF(L28&gt;=62,"1 - Do now",IF(L28&gt;=52,"2 - Next",IF(L28&gt;=44,"3 - Later","4 - Backlog")))</f>
        <v/>
      </c>
      <c r="N28" s="67" t="inlineStr">
        <is>
          <t>/products/double-action-baler-manual-door</t>
        </is>
      </c>
    </row>
    <row r="29" ht="15" customHeight="1" s="54">
      <c r="A29" s="63" t="n">
        <v>25</v>
      </c>
      <c r="B29" s="63" t="inlineStr">
        <is>
          <t>top ejection baling press</t>
        </is>
      </c>
      <c r="C29" s="63" t="inlineStr">
        <is>
          <t>Balers</t>
        </is>
      </c>
      <c r="D29" s="63" t="inlineStr">
        <is>
          <t>Baler type</t>
        </is>
      </c>
      <c r="E29" s="63" t="inlineStr">
        <is>
          <t>Transactional</t>
        </is>
      </c>
      <c r="F29" s="63" t="inlineStr">
        <is>
          <t>India+Export</t>
        </is>
      </c>
      <c r="G29" s="64" t="n">
        <v>50</v>
      </c>
      <c r="H29" s="64" t="n">
        <v>90</v>
      </c>
      <c r="I29" s="64" t="n">
        <v>11</v>
      </c>
      <c r="J29" s="65">
        <f>100-I29</f>
        <v/>
      </c>
      <c r="K29" s="65" t="n">
        <v>100</v>
      </c>
      <c r="L29" s="66">
        <f>ROUND((G29/MAX($G$5:$G$271)*100*0.4)+(J29*0.35)+(K29*0.25),1)</f>
        <v/>
      </c>
      <c r="M29" s="63">
        <f>IF(L29&gt;=62,"1 - Do now",IF(L29&gt;=52,"2 - Next",IF(L29&gt;=44,"3 - Later","4 - Backlog")))</f>
        <v/>
      </c>
      <c r="N29" s="63" t="inlineStr">
        <is>
          <t>/products/double-action-baler-top-ejection</t>
        </is>
      </c>
    </row>
    <row r="30" ht="15" customHeight="1" s="54">
      <c r="A30" s="67" t="n">
        <v>26</v>
      </c>
      <c r="B30" s="67" t="inlineStr">
        <is>
          <t>high density baler machine</t>
        </is>
      </c>
      <c r="C30" s="67" t="inlineStr">
        <is>
          <t>Balers</t>
        </is>
      </c>
      <c r="D30" s="67" t="inlineStr">
        <is>
          <t>Baler type</t>
        </is>
      </c>
      <c r="E30" s="67" t="inlineStr">
        <is>
          <t>Transactional</t>
        </is>
      </c>
      <c r="F30" s="67" t="inlineStr">
        <is>
          <t>India+Export</t>
        </is>
      </c>
      <c r="G30" s="68" t="n">
        <v>390</v>
      </c>
      <c r="H30" s="68" t="n">
        <v>1000</v>
      </c>
      <c r="I30" s="68" t="n">
        <v>33</v>
      </c>
      <c r="J30" s="69">
        <f>100-I30</f>
        <v/>
      </c>
      <c r="K30" s="69" t="n">
        <v>100</v>
      </c>
      <c r="L30" s="70">
        <f>ROUND((G30/MAX($G$5:$G$271)*100*0.4)+(J30*0.35)+(K30*0.25),1)</f>
        <v/>
      </c>
      <c r="M30" s="67">
        <f>IF(L30&gt;=62,"1 - Do now",IF(L30&gt;=52,"2 - Next",IF(L30&gt;=44,"3 - Later","4 - Backlog")))</f>
        <v/>
      </c>
      <c r="N30" s="67" t="inlineStr">
        <is>
          <t>/products/high-density-baler</t>
        </is>
      </c>
    </row>
    <row r="31" ht="15" customHeight="1" s="54">
      <c r="A31" s="63" t="n">
        <v>27</v>
      </c>
      <c r="B31" s="63" t="inlineStr">
        <is>
          <t>vertical baler machine</t>
        </is>
      </c>
      <c r="C31" s="63" t="inlineStr">
        <is>
          <t>Balers</t>
        </is>
      </c>
      <c r="D31" s="63" t="inlineStr">
        <is>
          <t>Baler type</t>
        </is>
      </c>
      <c r="E31" s="63" t="inlineStr">
        <is>
          <t>Transactional</t>
        </is>
      </c>
      <c r="F31" s="63" t="inlineStr">
        <is>
          <t>India+Export</t>
        </is>
      </c>
      <c r="G31" s="64" t="n">
        <v>480</v>
      </c>
      <c r="H31" s="64" t="n">
        <v>2900</v>
      </c>
      <c r="I31" s="64" t="n">
        <v>36</v>
      </c>
      <c r="J31" s="65">
        <f>100-I31</f>
        <v/>
      </c>
      <c r="K31" s="65" t="n">
        <v>100</v>
      </c>
      <c r="L31" s="66">
        <f>ROUND((G31/MAX($G$5:$G$271)*100*0.4)+(J31*0.35)+(K31*0.25),1)</f>
        <v/>
      </c>
      <c r="M31" s="63">
        <f>IF(L31&gt;=62,"1 - Do now",IF(L31&gt;=52,"2 - Next",IF(L31&gt;=44,"3 - Later","4 - Backlog")))</f>
        <v/>
      </c>
      <c r="N31" s="63" t="inlineStr">
        <is>
          <t>/products/vertical-baler</t>
        </is>
      </c>
    </row>
    <row r="32" ht="15" customHeight="1" s="54">
      <c r="A32" s="67" t="n">
        <v>28</v>
      </c>
      <c r="B32" s="67" t="inlineStr">
        <is>
          <t>vertical baling press price</t>
        </is>
      </c>
      <c r="C32" s="67" t="inlineStr">
        <is>
          <t>Balers</t>
        </is>
      </c>
      <c r="D32" s="67" t="inlineStr">
        <is>
          <t>Baler type</t>
        </is>
      </c>
      <c r="E32" s="67" t="inlineStr">
        <is>
          <t>Transactional</t>
        </is>
      </c>
      <c r="F32" s="67" t="inlineStr">
        <is>
          <t>India+Export</t>
        </is>
      </c>
      <c r="G32" s="68" t="n">
        <v>260</v>
      </c>
      <c r="H32" s="68" t="n">
        <v>720</v>
      </c>
      <c r="I32" s="68" t="n">
        <v>28</v>
      </c>
      <c r="J32" s="69">
        <f>100-I32</f>
        <v/>
      </c>
      <c r="K32" s="69" t="n">
        <v>100</v>
      </c>
      <c r="L32" s="70">
        <f>ROUND((G32/MAX($G$5:$G$271)*100*0.4)+(J32*0.35)+(K32*0.25),1)</f>
        <v/>
      </c>
      <c r="M32" s="67">
        <f>IF(L32&gt;=62,"1 - Do now",IF(L32&gt;=52,"2 - Next",IF(L32&gt;=44,"3 - Later","4 - Backlog")))</f>
        <v/>
      </c>
      <c r="N32" s="67" t="inlineStr">
        <is>
          <t>/products/vertical-baler</t>
        </is>
      </c>
    </row>
    <row r="33" ht="15" customHeight="1" s="54">
      <c r="A33" s="63" t="n">
        <v>29</v>
      </c>
      <c r="B33" s="63" t="inlineStr">
        <is>
          <t>horizontal baler machine</t>
        </is>
      </c>
      <c r="C33" s="63" t="inlineStr">
        <is>
          <t>Balers</t>
        </is>
      </c>
      <c r="D33" s="63" t="inlineStr">
        <is>
          <t>Baler type</t>
        </is>
      </c>
      <c r="E33" s="63" t="inlineStr">
        <is>
          <t>Transactional</t>
        </is>
      </c>
      <c r="F33" s="63" t="inlineStr">
        <is>
          <t>India+Export</t>
        </is>
      </c>
      <c r="G33" s="64" t="n">
        <v>590</v>
      </c>
      <c r="H33" s="64" t="n">
        <v>3600</v>
      </c>
      <c r="I33" s="64" t="n">
        <v>40</v>
      </c>
      <c r="J33" s="65">
        <f>100-I33</f>
        <v/>
      </c>
      <c r="K33" s="65" t="n">
        <v>100</v>
      </c>
      <c r="L33" s="66">
        <f>ROUND((G33/MAX($G$5:$G$271)*100*0.4)+(J33*0.35)+(K33*0.25),1)</f>
        <v/>
      </c>
      <c r="M33" s="63">
        <f>IF(L33&gt;=62,"1 - Do now",IF(L33&gt;=52,"2 - Next",IF(L33&gt;=44,"3 - Later","4 - Backlog")))</f>
        <v/>
      </c>
      <c r="N33" s="63" t="inlineStr">
        <is>
          <t>/products/automatic-horizontal-baler</t>
        </is>
      </c>
    </row>
    <row r="34" ht="15" customHeight="1" s="54">
      <c r="A34" s="67" t="n">
        <v>30</v>
      </c>
      <c r="B34" s="67" t="inlineStr">
        <is>
          <t>automatic horizontal baling press</t>
        </is>
      </c>
      <c r="C34" s="67" t="inlineStr">
        <is>
          <t>Balers</t>
        </is>
      </c>
      <c r="D34" s="67" t="inlineStr">
        <is>
          <t>Baler type</t>
        </is>
      </c>
      <c r="E34" s="67" t="inlineStr">
        <is>
          <t>Transactional</t>
        </is>
      </c>
      <c r="F34" s="67" t="inlineStr">
        <is>
          <t>India+Export</t>
        </is>
      </c>
      <c r="G34" s="68" t="n">
        <v>320</v>
      </c>
      <c r="H34" s="68" t="n">
        <v>1300</v>
      </c>
      <c r="I34" s="68" t="n">
        <v>33</v>
      </c>
      <c r="J34" s="69">
        <f>100-I34</f>
        <v/>
      </c>
      <c r="K34" s="69" t="n">
        <v>100</v>
      </c>
      <c r="L34" s="70">
        <f>ROUND((G34/MAX($G$5:$G$271)*100*0.4)+(J34*0.35)+(K34*0.25),1)</f>
        <v/>
      </c>
      <c r="M34" s="67">
        <f>IF(L34&gt;=62,"1 - Do now",IF(L34&gt;=52,"2 - Next",IF(L34&gt;=44,"3 - Later","4 - Backlog")))</f>
        <v/>
      </c>
      <c r="N34" s="67" t="inlineStr">
        <is>
          <t>/products/automatic-horizontal-baler</t>
        </is>
      </c>
    </row>
    <row r="35" ht="15" customHeight="1" s="54">
      <c r="A35" s="63" t="n">
        <v>31</v>
      </c>
      <c r="B35" s="63" t="inlineStr">
        <is>
          <t>semi automatic baling machine</t>
        </is>
      </c>
      <c r="C35" s="63" t="inlineStr">
        <is>
          <t>Balers</t>
        </is>
      </c>
      <c r="D35" s="63" t="inlineStr">
        <is>
          <t>Baler type</t>
        </is>
      </c>
      <c r="E35" s="63" t="inlineStr">
        <is>
          <t>Transactional</t>
        </is>
      </c>
      <c r="F35" s="63" t="inlineStr">
        <is>
          <t>India+Export</t>
        </is>
      </c>
      <c r="G35" s="64" t="n">
        <v>210</v>
      </c>
      <c r="H35" s="64" t="n">
        <v>880</v>
      </c>
      <c r="I35" s="64" t="n">
        <v>27</v>
      </c>
      <c r="J35" s="65">
        <f>100-I35</f>
        <v/>
      </c>
      <c r="K35" s="65" t="n">
        <v>100</v>
      </c>
      <c r="L35" s="66">
        <f>ROUND((G35/MAX($G$5:$G$271)*100*0.4)+(J35*0.35)+(K35*0.25),1)</f>
        <v/>
      </c>
      <c r="M35" s="63">
        <f>IF(L35&gt;=62,"1 - Do now",IF(L35&gt;=52,"2 - Next",IF(L35&gt;=44,"3 - Later","4 - Backlog")))</f>
        <v/>
      </c>
      <c r="N35" s="63" t="inlineStr">
        <is>
          <t>/products/semi-automatic-horizontal-baler</t>
        </is>
      </c>
    </row>
    <row r="36" ht="15" customHeight="1" s="54">
      <c r="A36" s="67" t="n">
        <v>32</v>
      </c>
      <c r="B36" s="67" t="inlineStr">
        <is>
          <t>super jumbo baler</t>
        </is>
      </c>
      <c r="C36" s="67" t="inlineStr">
        <is>
          <t>Balers</t>
        </is>
      </c>
      <c r="D36" s="67" t="inlineStr">
        <is>
          <t>Baler type</t>
        </is>
      </c>
      <c r="E36" s="67" t="inlineStr">
        <is>
          <t>Transactional</t>
        </is>
      </c>
      <c r="F36" s="67" t="inlineStr">
        <is>
          <t>India</t>
        </is>
      </c>
      <c r="G36" s="68" t="n">
        <v>90</v>
      </c>
      <c r="H36" s="68" t="n">
        <v>140</v>
      </c>
      <c r="I36" s="68" t="n">
        <v>14</v>
      </c>
      <c r="J36" s="69">
        <f>100-I36</f>
        <v/>
      </c>
      <c r="K36" s="69" t="n">
        <v>100</v>
      </c>
      <c r="L36" s="70">
        <f>ROUND((G36/MAX($G$5:$G$271)*100*0.4)+(J36*0.35)+(K36*0.25),1)</f>
        <v/>
      </c>
      <c r="M36" s="67">
        <f>IF(L36&gt;=62,"1 - Do now",IF(L36&gt;=52,"2 - Next",IF(L36&gt;=44,"3 - Later","4 - Backlog")))</f>
        <v/>
      </c>
      <c r="N36" s="67" t="inlineStr">
        <is>
          <t>/products/super-jumbo-baler</t>
        </is>
      </c>
    </row>
    <row r="37" ht="15" customHeight="1" s="54">
      <c r="A37" s="63" t="n">
        <v>33</v>
      </c>
      <c r="B37" s="63" t="inlineStr">
        <is>
          <t>jumbo baling press machine</t>
        </is>
      </c>
      <c r="C37" s="63" t="inlineStr">
        <is>
          <t>Balers</t>
        </is>
      </c>
      <c r="D37" s="63" t="inlineStr">
        <is>
          <t>Baler type</t>
        </is>
      </c>
      <c r="E37" s="63" t="inlineStr">
        <is>
          <t>Transactional</t>
        </is>
      </c>
      <c r="F37" s="63" t="inlineStr">
        <is>
          <t>India</t>
        </is>
      </c>
      <c r="G37" s="64" t="n">
        <v>170</v>
      </c>
      <c r="H37" s="64" t="n">
        <v>260</v>
      </c>
      <c r="I37" s="64" t="n">
        <v>20</v>
      </c>
      <c r="J37" s="65">
        <f>100-I37</f>
        <v/>
      </c>
      <c r="K37" s="65" t="n">
        <v>100</v>
      </c>
      <c r="L37" s="66">
        <f>ROUND((G37/MAX($G$5:$G$271)*100*0.4)+(J37*0.35)+(K37*0.25),1)</f>
        <v/>
      </c>
      <c r="M37" s="63">
        <f>IF(L37&gt;=62,"1 - Do now",IF(L37&gt;=52,"2 - Next",IF(L37&gt;=44,"3 - Later","4 - Backlog")))</f>
        <v/>
      </c>
      <c r="N37" s="63" t="inlineStr">
        <is>
          <t>/products/super-jumbo-baler</t>
        </is>
      </c>
    </row>
    <row r="38" ht="15" customHeight="1" s="54">
      <c r="A38" s="67" t="n">
        <v>34</v>
      </c>
      <c r="B38" s="67" t="inlineStr">
        <is>
          <t>continuous baling press machine</t>
        </is>
      </c>
      <c r="C38" s="67" t="inlineStr">
        <is>
          <t>Balers</t>
        </is>
      </c>
      <c r="D38" s="67" t="inlineStr">
        <is>
          <t>Baler type</t>
        </is>
      </c>
      <c r="E38" s="67" t="inlineStr">
        <is>
          <t>Transactional</t>
        </is>
      </c>
      <c r="F38" s="67" t="inlineStr">
        <is>
          <t>India+Export</t>
        </is>
      </c>
      <c r="G38" s="68" t="n">
        <v>140</v>
      </c>
      <c r="H38" s="68" t="n">
        <v>480</v>
      </c>
      <c r="I38" s="68" t="n">
        <v>22</v>
      </c>
      <c r="J38" s="69">
        <f>100-I38</f>
        <v/>
      </c>
      <c r="K38" s="69" t="n">
        <v>100</v>
      </c>
      <c r="L38" s="70">
        <f>ROUND((G38/MAX($G$5:$G$271)*100*0.4)+(J38*0.35)+(K38*0.25),1)</f>
        <v/>
      </c>
      <c r="M38" s="67">
        <f>IF(L38&gt;=62,"1 - Do now",IF(L38&gt;=52,"2 - Next",IF(L38&gt;=44,"3 - Later","4 - Backlog")))</f>
        <v/>
      </c>
      <c r="N38" s="67" t="inlineStr">
        <is>
          <t>/products/continuous-baler</t>
        </is>
      </c>
    </row>
    <row r="39" ht="15" customHeight="1" s="54">
      <c r="A39" s="63" t="n">
        <v>35</v>
      </c>
      <c r="B39" s="63" t="inlineStr">
        <is>
          <t>mobile baler machine</t>
        </is>
      </c>
      <c r="C39" s="63" t="inlineStr">
        <is>
          <t>Balers</t>
        </is>
      </c>
      <c r="D39" s="63" t="inlineStr">
        <is>
          <t>Baler type</t>
        </is>
      </c>
      <c r="E39" s="63" t="inlineStr">
        <is>
          <t>Transactional</t>
        </is>
      </c>
      <c r="F39" s="63" t="inlineStr">
        <is>
          <t>India+Export</t>
        </is>
      </c>
      <c r="G39" s="64" t="n">
        <v>110</v>
      </c>
      <c r="H39" s="64" t="n">
        <v>590</v>
      </c>
      <c r="I39" s="64" t="n">
        <v>24</v>
      </c>
      <c r="J39" s="65">
        <f>100-I39</f>
        <v/>
      </c>
      <c r="K39" s="65" t="n">
        <v>100</v>
      </c>
      <c r="L39" s="66">
        <f>ROUND((G39/MAX($G$5:$G$271)*100*0.4)+(J39*0.35)+(K39*0.25),1)</f>
        <v/>
      </c>
      <c r="M39" s="63">
        <f>IF(L39&gt;=62,"1 - Do now",IF(L39&gt;=52,"2 - Next",IF(L39&gt;=44,"3 - Later","4 - Backlog")))</f>
        <v/>
      </c>
      <c r="N39" s="63" t="inlineStr">
        <is>
          <t>/products/mobile-baler</t>
        </is>
      </c>
    </row>
    <row r="40" ht="15" customHeight="1" s="54">
      <c r="A40" s="67" t="n">
        <v>36</v>
      </c>
      <c r="B40" s="67" t="inlineStr">
        <is>
          <t>auto tie baler machine</t>
        </is>
      </c>
      <c r="C40" s="67" t="inlineStr">
        <is>
          <t>Balers</t>
        </is>
      </c>
      <c r="D40" s="67" t="inlineStr">
        <is>
          <t>Baler type</t>
        </is>
      </c>
      <c r="E40" s="67" t="inlineStr">
        <is>
          <t>Transactional</t>
        </is>
      </c>
      <c r="F40" s="67" t="inlineStr">
        <is>
          <t>India+Export</t>
        </is>
      </c>
      <c r="G40" s="68" t="n">
        <v>90</v>
      </c>
      <c r="H40" s="68" t="n">
        <v>720</v>
      </c>
      <c r="I40" s="68" t="n">
        <v>26</v>
      </c>
      <c r="J40" s="69">
        <f>100-I40</f>
        <v/>
      </c>
      <c r="K40" s="69" t="n">
        <v>100</v>
      </c>
      <c r="L40" s="70">
        <f>ROUND((G40/MAX($G$5:$G$271)*100*0.4)+(J40*0.35)+(K40*0.25),1)</f>
        <v/>
      </c>
      <c r="M40" s="67">
        <f>IF(L40&gt;=62,"1 - Do now",IF(L40&gt;=52,"2 - Next",IF(L40&gt;=44,"3 - Later","4 - Backlog")))</f>
        <v/>
      </c>
      <c r="N40" s="67" t="inlineStr">
        <is>
          <t>/products/automatic-horizontal-baler</t>
        </is>
      </c>
    </row>
    <row r="41" ht="15" customHeight="1" s="54">
      <c r="A41" s="63" t="n">
        <v>37</v>
      </c>
      <c r="B41" s="63" t="inlineStr">
        <is>
          <t>two ram baler</t>
        </is>
      </c>
      <c r="C41" s="63" t="inlineStr">
        <is>
          <t>Balers</t>
        </is>
      </c>
      <c r="D41" s="63" t="inlineStr">
        <is>
          <t>Baler type</t>
        </is>
      </c>
      <c r="E41" s="63" t="inlineStr">
        <is>
          <t>Transactional</t>
        </is>
      </c>
      <c r="F41" s="63" t="inlineStr">
        <is>
          <t>Export</t>
        </is>
      </c>
      <c r="G41" s="64" t="n">
        <v>70</v>
      </c>
      <c r="H41" s="64" t="n">
        <v>880</v>
      </c>
      <c r="I41" s="64" t="n">
        <v>28</v>
      </c>
      <c r="J41" s="65">
        <f>100-I41</f>
        <v/>
      </c>
      <c r="K41" s="65" t="n">
        <v>100</v>
      </c>
      <c r="L41" s="66">
        <f>ROUND((G41/MAX($G$5:$G$271)*100*0.4)+(J41*0.35)+(K41*0.25),1)</f>
        <v/>
      </c>
      <c r="M41" s="63">
        <f>IF(L41&gt;=62,"1 - Do now",IF(L41&gt;=52,"2 - Next",IF(L41&gt;=44,"3 - Later","4 - Backlog")))</f>
        <v/>
      </c>
      <c r="N41" s="63" t="inlineStr">
        <is>
          <t>/products/double-action-baler</t>
        </is>
      </c>
    </row>
    <row r="42" ht="15" customHeight="1" s="54">
      <c r="A42" s="67" t="n">
        <v>38</v>
      </c>
      <c r="B42" s="67" t="inlineStr">
        <is>
          <t>shear baler machine</t>
        </is>
      </c>
      <c r="C42" s="67" t="inlineStr">
        <is>
          <t>Balers</t>
        </is>
      </c>
      <c r="D42" s="67" t="inlineStr">
        <is>
          <t>Baler type</t>
        </is>
      </c>
      <c r="E42" s="67" t="inlineStr">
        <is>
          <t>Transactional</t>
        </is>
      </c>
      <c r="F42" s="67" t="inlineStr">
        <is>
          <t>India+Export</t>
        </is>
      </c>
      <c r="G42" s="68" t="n">
        <v>140</v>
      </c>
      <c r="H42" s="68" t="n">
        <v>1000</v>
      </c>
      <c r="I42" s="68" t="n">
        <v>30</v>
      </c>
      <c r="J42" s="69">
        <f>100-I42</f>
        <v/>
      </c>
      <c r="K42" s="69" t="n">
        <v>100</v>
      </c>
      <c r="L42" s="70">
        <f>ROUND((G42/MAX($G$5:$G$271)*100*0.4)+(J42*0.35)+(K42*0.25),1)</f>
        <v/>
      </c>
      <c r="M42" s="67">
        <f>IF(L42&gt;=62,"1 - Do now",IF(L42&gt;=52,"2 - Next",IF(L42&gt;=44,"3 - Later","4 - Backlog")))</f>
        <v/>
      </c>
      <c r="N42" s="67" t="inlineStr">
        <is>
          <t>/products/inclined-shear-baler</t>
        </is>
      </c>
    </row>
    <row r="43" ht="15" customHeight="1" s="54">
      <c r="A43" s="63" t="n">
        <v>39</v>
      </c>
      <c r="B43" s="63" t="inlineStr">
        <is>
          <t>copper scrap baling machine</t>
        </is>
      </c>
      <c r="C43" s="63" t="inlineStr">
        <is>
          <t>Balers</t>
        </is>
      </c>
      <c r="D43" s="63" t="inlineStr">
        <is>
          <t>Baler material</t>
        </is>
      </c>
      <c r="E43" s="63" t="inlineStr">
        <is>
          <t>Transactional</t>
        </is>
      </c>
      <c r="F43" s="63" t="inlineStr">
        <is>
          <t>India+Export</t>
        </is>
      </c>
      <c r="G43" s="64" t="n">
        <v>210</v>
      </c>
      <c r="H43" s="64" t="n">
        <v>390</v>
      </c>
      <c r="I43" s="64" t="n">
        <v>19</v>
      </c>
      <c r="J43" s="65">
        <f>100-I43</f>
        <v/>
      </c>
      <c r="K43" s="65" t="n">
        <v>100</v>
      </c>
      <c r="L43" s="66">
        <f>ROUND((G43/MAX($G$5:$G$271)*100*0.4)+(J43*0.35)+(K43*0.25),1)</f>
        <v/>
      </c>
      <c r="M43" s="63">
        <f>IF(L43&gt;=62,"1 - Do now",IF(L43&gt;=52,"2 - Next",IF(L43&gt;=44,"3 - Later","4 - Backlog")))</f>
        <v/>
      </c>
      <c r="N43" s="63" t="inlineStr">
        <is>
          <t>/products/mini-triple-action-baler</t>
        </is>
      </c>
    </row>
    <row r="44" ht="15" customHeight="1" s="54">
      <c r="A44" s="67" t="n">
        <v>40</v>
      </c>
      <c r="B44" s="67" t="inlineStr">
        <is>
          <t>aluminium scrap baler machine</t>
        </is>
      </c>
      <c r="C44" s="67" t="inlineStr">
        <is>
          <t>Balers</t>
        </is>
      </c>
      <c r="D44" s="67" t="inlineStr">
        <is>
          <t>Baler material</t>
        </is>
      </c>
      <c r="E44" s="67" t="inlineStr">
        <is>
          <t>Transactional</t>
        </is>
      </c>
      <c r="F44" s="67" t="inlineStr">
        <is>
          <t>India+Export</t>
        </is>
      </c>
      <c r="G44" s="68" t="n">
        <v>260</v>
      </c>
      <c r="H44" s="68" t="n">
        <v>590</v>
      </c>
      <c r="I44" s="68" t="n">
        <v>22</v>
      </c>
      <c r="J44" s="69">
        <f>100-I44</f>
        <v/>
      </c>
      <c r="K44" s="69" t="n">
        <v>100</v>
      </c>
      <c r="L44" s="70">
        <f>ROUND((G44/MAX($G$5:$G$271)*100*0.4)+(J44*0.35)+(K44*0.25),1)</f>
        <v/>
      </c>
      <c r="M44" s="67">
        <f>IF(L44&gt;=62,"1 - Do now",IF(L44&gt;=52,"2 - Next",IF(L44&gt;=44,"3 - Later","4 - Backlog")))</f>
        <v/>
      </c>
      <c r="N44" s="67" t="inlineStr">
        <is>
          <t>/products/mini-triple-action-baler</t>
        </is>
      </c>
    </row>
    <row r="45" ht="15" customHeight="1" s="54">
      <c r="A45" s="63" t="n">
        <v>41</v>
      </c>
      <c r="B45" s="63" t="inlineStr">
        <is>
          <t>aluminium can baler ubc</t>
        </is>
      </c>
      <c r="C45" s="63" t="inlineStr">
        <is>
          <t>Balers</t>
        </is>
      </c>
      <c r="D45" s="63" t="inlineStr">
        <is>
          <t>Baler material</t>
        </is>
      </c>
      <c r="E45" s="63" t="inlineStr">
        <is>
          <t>Transactional</t>
        </is>
      </c>
      <c r="F45" s="63" t="inlineStr">
        <is>
          <t>India+Export</t>
        </is>
      </c>
      <c r="G45" s="64" t="n">
        <v>90</v>
      </c>
      <c r="H45" s="64" t="n">
        <v>480</v>
      </c>
      <c r="I45" s="64" t="n">
        <v>19</v>
      </c>
      <c r="J45" s="65">
        <f>100-I45</f>
        <v/>
      </c>
      <c r="K45" s="65" t="n">
        <v>100</v>
      </c>
      <c r="L45" s="66">
        <f>ROUND((G45/MAX($G$5:$G$271)*100*0.4)+(J45*0.35)+(K45*0.25),1)</f>
        <v/>
      </c>
      <c r="M45" s="63">
        <f>IF(L45&gt;=62,"1 - Do now",IF(L45&gt;=52,"2 - Next",IF(L45&gt;=44,"3 - Later","4 - Backlog")))</f>
        <v/>
      </c>
      <c r="N45" s="63" t="inlineStr">
        <is>
          <t>/products/mini-triple-action-baler</t>
        </is>
      </c>
    </row>
    <row r="46" ht="15" customHeight="1" s="54">
      <c r="A46" s="67" t="n">
        <v>42</v>
      </c>
      <c r="B46" s="67" t="inlineStr">
        <is>
          <t>ms scrap baling press</t>
        </is>
      </c>
      <c r="C46" s="67" t="inlineStr">
        <is>
          <t>Balers</t>
        </is>
      </c>
      <c r="D46" s="67" t="inlineStr">
        <is>
          <t>Baler material</t>
        </is>
      </c>
      <c r="E46" s="67" t="inlineStr">
        <is>
          <t>Transactional</t>
        </is>
      </c>
      <c r="F46" s="67" t="inlineStr">
        <is>
          <t>India</t>
        </is>
      </c>
      <c r="G46" s="68" t="n">
        <v>320</v>
      </c>
      <c r="H46" s="68" t="n">
        <v>390</v>
      </c>
      <c r="I46" s="68" t="n">
        <v>24</v>
      </c>
      <c r="J46" s="69">
        <f>100-I46</f>
        <v/>
      </c>
      <c r="K46" s="69" t="n">
        <v>100</v>
      </c>
      <c r="L46" s="70">
        <f>ROUND((G46/MAX($G$5:$G$271)*100*0.4)+(J46*0.35)+(K46*0.25),1)</f>
        <v/>
      </c>
      <c r="M46" s="67">
        <f>IF(L46&gt;=62,"1 - Do now",IF(L46&gt;=52,"2 - Next",IF(L46&gt;=44,"3 - Later","4 - Backlog")))</f>
        <v/>
      </c>
      <c r="N46" s="67" t="inlineStr">
        <is>
          <t>/products/high-density-baler</t>
        </is>
      </c>
    </row>
    <row r="47" ht="15" customHeight="1" s="54">
      <c r="A47" s="63" t="n">
        <v>43</v>
      </c>
      <c r="B47" s="63" t="inlineStr">
        <is>
          <t>tmt scrap baling machine</t>
        </is>
      </c>
      <c r="C47" s="63" t="inlineStr">
        <is>
          <t>Balers</t>
        </is>
      </c>
      <c r="D47" s="63" t="inlineStr">
        <is>
          <t>Baler material</t>
        </is>
      </c>
      <c r="E47" s="63" t="inlineStr">
        <is>
          <t>Transactional</t>
        </is>
      </c>
      <c r="F47" s="63" t="inlineStr">
        <is>
          <t>India</t>
        </is>
      </c>
      <c r="G47" s="64" t="n">
        <v>140</v>
      </c>
      <c r="H47" s="64" t="n">
        <v>170</v>
      </c>
      <c r="I47" s="64" t="n">
        <v>16</v>
      </c>
      <c r="J47" s="65">
        <f>100-I47</f>
        <v/>
      </c>
      <c r="K47" s="65" t="n">
        <v>100</v>
      </c>
      <c r="L47" s="66">
        <f>ROUND((G47/MAX($G$5:$G$271)*100*0.4)+(J47*0.35)+(K47*0.25),1)</f>
        <v/>
      </c>
      <c r="M47" s="63">
        <f>IF(L47&gt;=62,"1 - Do now",IF(L47&gt;=52,"2 - Next",IF(L47&gt;=44,"3 - Later","4 - Backlog")))</f>
        <v/>
      </c>
      <c r="N47" s="63" t="inlineStr">
        <is>
          <t>/products/super-jumbo-baler</t>
        </is>
      </c>
    </row>
    <row r="48" ht="15" customHeight="1" s="54">
      <c r="A48" s="67" t="n">
        <v>44</v>
      </c>
      <c r="B48" s="67" t="inlineStr">
        <is>
          <t>stainless steel scrap baler</t>
        </is>
      </c>
      <c r="C48" s="67" t="inlineStr">
        <is>
          <t>Balers</t>
        </is>
      </c>
      <c r="D48" s="67" t="inlineStr">
        <is>
          <t>Baler material</t>
        </is>
      </c>
      <c r="E48" s="67" t="inlineStr">
        <is>
          <t>Transactional</t>
        </is>
      </c>
      <c r="F48" s="67" t="inlineStr">
        <is>
          <t>India+Export</t>
        </is>
      </c>
      <c r="G48" s="68" t="n">
        <v>110</v>
      </c>
      <c r="H48" s="68" t="n">
        <v>320</v>
      </c>
      <c r="I48" s="68" t="n">
        <v>20</v>
      </c>
      <c r="J48" s="69">
        <f>100-I48</f>
        <v/>
      </c>
      <c r="K48" s="69" t="n">
        <v>100</v>
      </c>
      <c r="L48" s="70">
        <f>ROUND((G48/MAX($G$5:$G$271)*100*0.4)+(J48*0.35)+(K48*0.25),1)</f>
        <v/>
      </c>
      <c r="M48" s="67">
        <f>IF(L48&gt;=62,"1 - Do now",IF(L48&gt;=52,"2 - Next",IF(L48&gt;=44,"3 - Later","4 - Backlog")))</f>
        <v/>
      </c>
      <c r="N48" s="67" t="inlineStr">
        <is>
          <t>/products/double-action-baler</t>
        </is>
      </c>
    </row>
    <row r="49" ht="15" customHeight="1" s="54">
      <c r="A49" s="63" t="n">
        <v>45</v>
      </c>
      <c r="B49" s="63" t="inlineStr">
        <is>
          <t>brass scrap baling machine</t>
        </is>
      </c>
      <c r="C49" s="63" t="inlineStr">
        <is>
          <t>Balers</t>
        </is>
      </c>
      <c r="D49" s="63" t="inlineStr">
        <is>
          <t>Baler material</t>
        </is>
      </c>
      <c r="E49" s="63" t="inlineStr">
        <is>
          <t>Transactional</t>
        </is>
      </c>
      <c r="F49" s="63" t="inlineStr">
        <is>
          <t>India</t>
        </is>
      </c>
      <c r="G49" s="64" t="n">
        <v>70</v>
      </c>
      <c r="H49" s="64" t="n">
        <v>140</v>
      </c>
      <c r="I49" s="64" t="n">
        <v>14</v>
      </c>
      <c r="J49" s="65">
        <f>100-I49</f>
        <v/>
      </c>
      <c r="K49" s="65" t="n">
        <v>100</v>
      </c>
      <c r="L49" s="66">
        <f>ROUND((G49/MAX($G$5:$G$271)*100*0.4)+(J49*0.35)+(K49*0.25),1)</f>
        <v/>
      </c>
      <c r="M49" s="63">
        <f>IF(L49&gt;=62,"1 - Do now",IF(L49&gt;=52,"2 - Next",IF(L49&gt;=44,"3 - Later","4 - Backlog")))</f>
        <v/>
      </c>
      <c r="N49" s="63" t="inlineStr">
        <is>
          <t>/products/mini-triple-action-baler</t>
        </is>
      </c>
    </row>
    <row r="50" ht="15" customHeight="1" s="54">
      <c r="A50" s="67" t="n">
        <v>46</v>
      </c>
      <c r="B50" s="67" t="inlineStr">
        <is>
          <t>turnings baling press machine</t>
        </is>
      </c>
      <c r="C50" s="67" t="inlineStr">
        <is>
          <t>Balers</t>
        </is>
      </c>
      <c r="D50" s="67" t="inlineStr">
        <is>
          <t>Baler material</t>
        </is>
      </c>
      <c r="E50" s="67" t="inlineStr">
        <is>
          <t>Transactional</t>
        </is>
      </c>
      <c r="F50" s="67" t="inlineStr">
        <is>
          <t>India</t>
        </is>
      </c>
      <c r="G50" s="68" t="n">
        <v>90</v>
      </c>
      <c r="H50" s="68" t="n">
        <v>210</v>
      </c>
      <c r="I50" s="68" t="n">
        <v>17</v>
      </c>
      <c r="J50" s="69">
        <f>100-I50</f>
        <v/>
      </c>
      <c r="K50" s="69" t="n">
        <v>100</v>
      </c>
      <c r="L50" s="70">
        <f>ROUND((G50/MAX($G$5:$G$271)*100*0.4)+(J50*0.35)+(K50*0.25),1)</f>
        <v/>
      </c>
      <c r="M50" s="67">
        <f>IF(L50&gt;=62,"1 - Do now",IF(L50&gt;=52,"2 - Next",IF(L50&gt;=44,"3 - Later","4 - Backlog")))</f>
        <v/>
      </c>
      <c r="N50" s="67" t="inlineStr">
        <is>
          <t>/products/triple-action-baler</t>
        </is>
      </c>
    </row>
    <row r="51" ht="15" customHeight="1" s="54">
      <c r="A51" s="63" t="n">
        <v>47</v>
      </c>
      <c r="B51" s="63" t="inlineStr">
        <is>
          <t>pet bottle baling machine</t>
        </is>
      </c>
      <c r="C51" s="63" t="inlineStr">
        <is>
          <t>Balers</t>
        </is>
      </c>
      <c r="D51" s="63" t="inlineStr">
        <is>
          <t>Baler waste</t>
        </is>
      </c>
      <c r="E51" s="63" t="inlineStr">
        <is>
          <t>Transactional</t>
        </is>
      </c>
      <c r="F51" s="63" t="inlineStr">
        <is>
          <t>India+Export</t>
        </is>
      </c>
      <c r="G51" s="64" t="n">
        <v>480</v>
      </c>
      <c r="H51" s="64" t="n">
        <v>1600</v>
      </c>
      <c r="I51" s="64" t="n">
        <v>27</v>
      </c>
      <c r="J51" s="65">
        <f>100-I51</f>
        <v/>
      </c>
      <c r="K51" s="65" t="n">
        <v>100</v>
      </c>
      <c r="L51" s="66">
        <f>ROUND((G51/MAX($G$5:$G$271)*100*0.4)+(J51*0.35)+(K51*0.25),1)</f>
        <v/>
      </c>
      <c r="M51" s="63">
        <f>IF(L51&gt;=62,"1 - Do now",IF(L51&gt;=52,"2 - Next",IF(L51&gt;=44,"3 - Later","4 - Backlog")))</f>
        <v/>
      </c>
      <c r="N51" s="63" t="inlineStr">
        <is>
          <t>/products/automatic-horizontal-baler</t>
        </is>
      </c>
    </row>
    <row r="52" ht="15" customHeight="1" s="54">
      <c r="A52" s="67" t="n">
        <v>48</v>
      </c>
      <c r="B52" s="67" t="inlineStr">
        <is>
          <t>cardboard baler machine</t>
        </is>
      </c>
      <c r="C52" s="67" t="inlineStr">
        <is>
          <t>Balers</t>
        </is>
      </c>
      <c r="D52" s="67" t="inlineStr">
        <is>
          <t>Baler waste</t>
        </is>
      </c>
      <c r="E52" s="67" t="inlineStr">
        <is>
          <t>Transactional</t>
        </is>
      </c>
      <c r="F52" s="67" t="inlineStr">
        <is>
          <t>India+Export</t>
        </is>
      </c>
      <c r="G52" s="68" t="n">
        <v>390</v>
      </c>
      <c r="H52" s="68" t="n">
        <v>4400</v>
      </c>
      <c r="I52" s="68" t="n">
        <v>38</v>
      </c>
      <c r="J52" s="69">
        <f>100-I52</f>
        <v/>
      </c>
      <c r="K52" s="69" t="n">
        <v>100</v>
      </c>
      <c r="L52" s="70">
        <f>ROUND((G52/MAX($G$5:$G$271)*100*0.4)+(J52*0.35)+(K52*0.25),1)</f>
        <v/>
      </c>
      <c r="M52" s="67">
        <f>IF(L52&gt;=62,"1 - Do now",IF(L52&gt;=52,"2 - Next",IF(L52&gt;=44,"3 - Later","4 - Backlog")))</f>
        <v/>
      </c>
      <c r="N52" s="67" t="inlineStr">
        <is>
          <t>/products/automatic-horizontal-baler</t>
        </is>
      </c>
    </row>
    <row r="53" ht="15" customHeight="1" s="54">
      <c r="A53" s="63" t="n">
        <v>49</v>
      </c>
      <c r="B53" s="63" t="inlineStr">
        <is>
          <t>occ waste paper baling machine</t>
        </is>
      </c>
      <c r="C53" s="63" t="inlineStr">
        <is>
          <t>Balers</t>
        </is>
      </c>
      <c r="D53" s="63" t="inlineStr">
        <is>
          <t>Baler waste</t>
        </is>
      </c>
      <c r="E53" s="63" t="inlineStr">
        <is>
          <t>Transactional</t>
        </is>
      </c>
      <c r="F53" s="63" t="inlineStr">
        <is>
          <t>India+Export</t>
        </is>
      </c>
      <c r="G53" s="64" t="n">
        <v>170</v>
      </c>
      <c r="H53" s="64" t="n">
        <v>590</v>
      </c>
      <c r="I53" s="64" t="n">
        <v>24</v>
      </c>
      <c r="J53" s="65">
        <f>100-I53</f>
        <v/>
      </c>
      <c r="K53" s="65" t="n">
        <v>100</v>
      </c>
      <c r="L53" s="66">
        <f>ROUND((G53/MAX($G$5:$G$271)*100*0.4)+(J53*0.35)+(K53*0.25),1)</f>
        <v/>
      </c>
      <c r="M53" s="63">
        <f>IF(L53&gt;=62,"1 - Do now",IF(L53&gt;=52,"2 - Next",IF(L53&gt;=44,"3 - Later","4 - Backlog")))</f>
        <v/>
      </c>
      <c r="N53" s="63" t="inlineStr">
        <is>
          <t>/products/automatic-horizontal-baler</t>
        </is>
      </c>
    </row>
    <row r="54" ht="15" customHeight="1" s="54">
      <c r="A54" s="67" t="n">
        <v>50</v>
      </c>
      <c r="B54" s="67" t="inlineStr">
        <is>
          <t>waste paper baling press machine</t>
        </is>
      </c>
      <c r="C54" s="67" t="inlineStr">
        <is>
          <t>Balers</t>
        </is>
      </c>
      <c r="D54" s="67" t="inlineStr">
        <is>
          <t>Baler waste</t>
        </is>
      </c>
      <c r="E54" s="67" t="inlineStr">
        <is>
          <t>Transactional</t>
        </is>
      </c>
      <c r="F54" s="67" t="inlineStr">
        <is>
          <t>India+Export</t>
        </is>
      </c>
      <c r="G54" s="68" t="n">
        <v>480</v>
      </c>
      <c r="H54" s="68" t="n">
        <v>1300</v>
      </c>
      <c r="I54" s="68" t="n">
        <v>30</v>
      </c>
      <c r="J54" s="69">
        <f>100-I54</f>
        <v/>
      </c>
      <c r="K54" s="69" t="n">
        <v>100</v>
      </c>
      <c r="L54" s="70">
        <f>ROUND((G54/MAX($G$5:$G$271)*100*0.4)+(J54*0.35)+(K54*0.25),1)</f>
        <v/>
      </c>
      <c r="M54" s="67">
        <f>IF(L54&gt;=62,"1 - Do now",IF(L54&gt;=52,"2 - Next",IF(L54&gt;=44,"3 - Later","4 - Backlog")))</f>
        <v/>
      </c>
      <c r="N54" s="67" t="inlineStr">
        <is>
          <t>/products/automatic-horizontal-baler</t>
        </is>
      </c>
    </row>
    <row r="55" ht="15" customHeight="1" s="54">
      <c r="A55" s="63" t="n">
        <v>51</v>
      </c>
      <c r="B55" s="63" t="inlineStr">
        <is>
          <t>plastic baling machine</t>
        </is>
      </c>
      <c r="C55" s="63" t="inlineStr">
        <is>
          <t>Balers</t>
        </is>
      </c>
      <c r="D55" s="63" t="inlineStr">
        <is>
          <t>Baler waste</t>
        </is>
      </c>
      <c r="E55" s="63" t="inlineStr">
        <is>
          <t>Transactional</t>
        </is>
      </c>
      <c r="F55" s="63" t="inlineStr">
        <is>
          <t>India+Export</t>
        </is>
      </c>
      <c r="G55" s="64" t="n">
        <v>590</v>
      </c>
      <c r="H55" s="64" t="n">
        <v>2400</v>
      </c>
      <c r="I55" s="64" t="n">
        <v>35</v>
      </c>
      <c r="J55" s="65">
        <f>100-I55</f>
        <v/>
      </c>
      <c r="K55" s="65" t="n">
        <v>100</v>
      </c>
      <c r="L55" s="66">
        <f>ROUND((G55/MAX($G$5:$G$271)*100*0.4)+(J55*0.35)+(K55*0.25),1)</f>
        <v/>
      </c>
      <c r="M55" s="63">
        <f>IF(L55&gt;=62,"1 - Do now",IF(L55&gt;=52,"2 - Next",IF(L55&gt;=44,"3 - Later","4 - Backlog")))</f>
        <v/>
      </c>
      <c r="N55" s="63" t="inlineStr">
        <is>
          <t>/products/automatic-horizontal-baler</t>
        </is>
      </c>
    </row>
    <row r="56" ht="15" customHeight="1" s="54">
      <c r="A56" s="67" t="n">
        <v>52</v>
      </c>
      <c r="B56" s="67" t="inlineStr">
        <is>
          <t>textile baling press</t>
        </is>
      </c>
      <c r="C56" s="67" t="inlineStr">
        <is>
          <t>Balers</t>
        </is>
      </c>
      <c r="D56" s="67" t="inlineStr">
        <is>
          <t>Baler waste</t>
        </is>
      </c>
      <c r="E56" s="67" t="inlineStr">
        <is>
          <t>Transactional</t>
        </is>
      </c>
      <c r="F56" s="67" t="inlineStr">
        <is>
          <t>India+Export</t>
        </is>
      </c>
      <c r="G56" s="68" t="n">
        <v>140</v>
      </c>
      <c r="H56" s="68" t="n">
        <v>720</v>
      </c>
      <c r="I56" s="68" t="n">
        <v>23</v>
      </c>
      <c r="J56" s="69">
        <f>100-I56</f>
        <v/>
      </c>
      <c r="K56" s="69" t="n">
        <v>100</v>
      </c>
      <c r="L56" s="70">
        <f>ROUND((G56/MAX($G$5:$G$271)*100*0.4)+(J56*0.35)+(K56*0.25),1)</f>
        <v/>
      </c>
      <c r="M56" s="67">
        <f>IF(L56&gt;=62,"1 - Do now",IF(L56&gt;=52,"2 - Next",IF(L56&gt;=44,"3 - Later","4 - Backlog")))</f>
        <v/>
      </c>
      <c r="N56" s="67" t="inlineStr">
        <is>
          <t>/products/automatic-horizontal-baler</t>
        </is>
      </c>
    </row>
    <row r="57" ht="15" customHeight="1" s="54">
      <c r="A57" s="63" t="n">
        <v>53</v>
      </c>
      <c r="B57" s="63" t="inlineStr">
        <is>
          <t>tyre baling press machine</t>
        </is>
      </c>
      <c r="C57" s="63" t="inlineStr">
        <is>
          <t>Balers</t>
        </is>
      </c>
      <c r="D57" s="63" t="inlineStr">
        <is>
          <t>Baler waste</t>
        </is>
      </c>
      <c r="E57" s="63" t="inlineStr">
        <is>
          <t>Transactional</t>
        </is>
      </c>
      <c r="F57" s="63" t="inlineStr">
        <is>
          <t>India+Export</t>
        </is>
      </c>
      <c r="G57" s="64" t="n">
        <v>170</v>
      </c>
      <c r="H57" s="64" t="n">
        <v>590</v>
      </c>
      <c r="I57" s="64" t="n">
        <v>22</v>
      </c>
      <c r="J57" s="65">
        <f>100-I57</f>
        <v/>
      </c>
      <c r="K57" s="65" t="n">
        <v>100</v>
      </c>
      <c r="L57" s="66">
        <f>ROUND((G57/MAX($G$5:$G$271)*100*0.4)+(J57*0.35)+(K57*0.25),1)</f>
        <v/>
      </c>
      <c r="M57" s="63">
        <f>IF(L57&gt;=62,"1 - Do now",IF(L57&gt;=52,"2 - Next",IF(L57&gt;=44,"3 - Later","4 - Backlog")))</f>
        <v/>
      </c>
      <c r="N57" s="63" t="inlineStr">
        <is>
          <t>/products/vertical-baler</t>
        </is>
      </c>
    </row>
    <row r="58" ht="15" customHeight="1" s="54">
      <c r="A58" s="67" t="n">
        <v>54</v>
      </c>
      <c r="B58" s="67" t="inlineStr">
        <is>
          <t>msw waste baling machine</t>
        </is>
      </c>
      <c r="C58" s="67" t="inlineStr">
        <is>
          <t>Balers</t>
        </is>
      </c>
      <c r="D58" s="67" t="inlineStr">
        <is>
          <t>Baler waste</t>
        </is>
      </c>
      <c r="E58" s="67" t="inlineStr">
        <is>
          <t>Transactional</t>
        </is>
      </c>
      <c r="F58" s="67" t="inlineStr">
        <is>
          <t>India</t>
        </is>
      </c>
      <c r="G58" s="68" t="n">
        <v>90</v>
      </c>
      <c r="H58" s="68" t="n">
        <v>320</v>
      </c>
      <c r="I58" s="68" t="n">
        <v>21</v>
      </c>
      <c r="J58" s="69">
        <f>100-I58</f>
        <v/>
      </c>
      <c r="K58" s="69" t="n">
        <v>100</v>
      </c>
      <c r="L58" s="70">
        <f>ROUND((G58/MAX($G$5:$G$271)*100*0.4)+(J58*0.35)+(K58*0.25),1)</f>
        <v/>
      </c>
      <c r="M58" s="67">
        <f>IF(L58&gt;=62,"1 - Do now",IF(L58&gt;=52,"2 - Next",IF(L58&gt;=44,"3 - Later","4 - Backlog")))</f>
        <v/>
      </c>
      <c r="N58" s="67" t="inlineStr">
        <is>
          <t>/products/msw-sorting-line</t>
        </is>
      </c>
    </row>
    <row r="59" ht="15" customHeight="1" s="54">
      <c r="A59" s="63" t="n">
        <v>55</v>
      </c>
      <c r="B59" s="63" t="inlineStr">
        <is>
          <t>car baler machine elv</t>
        </is>
      </c>
      <c r="C59" s="63" t="inlineStr">
        <is>
          <t>ELV / RVSF</t>
        </is>
      </c>
      <c r="D59" s="63" t="inlineStr">
        <is>
          <t>Car baler</t>
        </is>
      </c>
      <c r="E59" s="63" t="inlineStr">
        <is>
          <t>Transactional</t>
        </is>
      </c>
      <c r="F59" s="63" t="inlineStr">
        <is>
          <t>India+Export</t>
        </is>
      </c>
      <c r="G59" s="64" t="n">
        <v>170</v>
      </c>
      <c r="H59" s="64" t="n">
        <v>590</v>
      </c>
      <c r="I59" s="64" t="n">
        <v>23</v>
      </c>
      <c r="J59" s="65">
        <f>100-I59</f>
        <v/>
      </c>
      <c r="K59" s="65" t="n">
        <v>100</v>
      </c>
      <c r="L59" s="66">
        <f>ROUND((G59/MAX($G$5:$G$271)*100*0.4)+(J59*0.35)+(K59*0.25),1)</f>
        <v/>
      </c>
      <c r="M59" s="63">
        <f>IF(L59&gt;=62,"1 - Do now",IF(L59&gt;=52,"2 - Next",IF(L59&gt;=44,"3 - Later","4 - Backlog")))</f>
        <v/>
      </c>
      <c r="N59" s="63" t="inlineStr">
        <is>
          <t>/products/car-baler</t>
        </is>
      </c>
    </row>
    <row r="60" ht="15" customHeight="1" s="54">
      <c r="A60" s="67" t="n">
        <v>56</v>
      </c>
      <c r="B60" s="67" t="inlineStr">
        <is>
          <t>car body baling press</t>
        </is>
      </c>
      <c r="C60" s="67" t="inlineStr">
        <is>
          <t>ELV / RVSF</t>
        </is>
      </c>
      <c r="D60" s="67" t="inlineStr">
        <is>
          <t>Car baler</t>
        </is>
      </c>
      <c r="E60" s="67" t="inlineStr">
        <is>
          <t>Transactional</t>
        </is>
      </c>
      <c r="F60" s="67" t="inlineStr">
        <is>
          <t>India+Export</t>
        </is>
      </c>
      <c r="G60" s="68" t="n">
        <v>110</v>
      </c>
      <c r="H60" s="68" t="n">
        <v>390</v>
      </c>
      <c r="I60" s="68" t="n">
        <v>21</v>
      </c>
      <c r="J60" s="69">
        <f>100-I60</f>
        <v/>
      </c>
      <c r="K60" s="69" t="n">
        <v>100</v>
      </c>
      <c r="L60" s="70">
        <f>ROUND((G60/MAX($G$5:$G$271)*100*0.4)+(J60*0.35)+(K60*0.25),1)</f>
        <v/>
      </c>
      <c r="M60" s="67">
        <f>IF(L60&gt;=62,"1 - Do now",IF(L60&gt;=52,"2 - Next",IF(L60&gt;=44,"3 - Later","4 - Backlog")))</f>
        <v/>
      </c>
      <c r="N60" s="67" t="inlineStr">
        <is>
          <t>/products/car-baler</t>
        </is>
      </c>
    </row>
    <row r="61" ht="15" customHeight="1" s="54">
      <c r="A61" s="63" t="n">
        <v>57</v>
      </c>
      <c r="B61" s="63" t="inlineStr">
        <is>
          <t>bike scrap baler machine</t>
        </is>
      </c>
      <c r="C61" s="63" t="inlineStr">
        <is>
          <t>ELV / RVSF</t>
        </is>
      </c>
      <c r="D61" s="63" t="inlineStr">
        <is>
          <t>Car baler</t>
        </is>
      </c>
      <c r="E61" s="63" t="inlineStr">
        <is>
          <t>Transactional</t>
        </is>
      </c>
      <c r="F61" s="63" t="inlineStr">
        <is>
          <t>India</t>
        </is>
      </c>
      <c r="G61" s="64" t="n">
        <v>90</v>
      </c>
      <c r="H61" s="64" t="n">
        <v>110</v>
      </c>
      <c r="I61" s="64" t="n">
        <v>13</v>
      </c>
      <c r="J61" s="65">
        <f>100-I61</f>
        <v/>
      </c>
      <c r="K61" s="65" t="n">
        <v>100</v>
      </c>
      <c r="L61" s="66">
        <f>ROUND((G61/MAX($G$5:$G$271)*100*0.4)+(J61*0.35)+(K61*0.25),1)</f>
        <v/>
      </c>
      <c r="M61" s="63">
        <f>IF(L61&gt;=62,"1 - Do now",IF(L61&gt;=52,"2 - Next",IF(L61&gt;=44,"3 - Later","4 - Backlog")))</f>
        <v/>
      </c>
      <c r="N61" s="63" t="inlineStr">
        <is>
          <t>/products/car-baler</t>
        </is>
      </c>
    </row>
    <row r="62" ht="15" customHeight="1" s="54">
      <c r="A62" s="67" t="n">
        <v>58</v>
      </c>
      <c r="B62" s="67" t="inlineStr">
        <is>
          <t>alligator shear machine</t>
        </is>
      </c>
      <c r="C62" s="67" t="inlineStr">
        <is>
          <t>Shears &amp; Nibblers</t>
        </is>
      </c>
      <c r="D62" s="67" t="inlineStr">
        <is>
          <t>Shear</t>
        </is>
      </c>
      <c r="E62" s="67" t="inlineStr">
        <is>
          <t>Transactional</t>
        </is>
      </c>
      <c r="F62" s="67" t="inlineStr">
        <is>
          <t>India+Export</t>
        </is>
      </c>
      <c r="G62" s="68" t="n">
        <v>590</v>
      </c>
      <c r="H62" s="68" t="n">
        <v>2400</v>
      </c>
      <c r="I62" s="68" t="n">
        <v>30</v>
      </c>
      <c r="J62" s="69">
        <f>100-I62</f>
        <v/>
      </c>
      <c r="K62" s="69" t="n">
        <v>100</v>
      </c>
      <c r="L62" s="70">
        <f>ROUND((G62/MAX($G$5:$G$271)*100*0.4)+(J62*0.35)+(K62*0.25),1)</f>
        <v/>
      </c>
      <c r="M62" s="67">
        <f>IF(L62&gt;=62,"1 - Do now",IF(L62&gt;=52,"2 - Next",IF(L62&gt;=44,"3 - Later","4 - Backlog")))</f>
        <v/>
      </c>
      <c r="N62" s="67" t="inlineStr">
        <is>
          <t>/products/alligator-shear</t>
        </is>
      </c>
    </row>
    <row r="63" ht="15" customHeight="1" s="54">
      <c r="A63" s="63" t="n">
        <v>59</v>
      </c>
      <c r="B63" s="63" t="inlineStr">
        <is>
          <t>hydraulic alligator shear price</t>
        </is>
      </c>
      <c r="C63" s="63" t="inlineStr">
        <is>
          <t>Shears &amp; Nibblers</t>
        </is>
      </c>
      <c r="D63" s="63" t="inlineStr">
        <is>
          <t>Shear</t>
        </is>
      </c>
      <c r="E63" s="63" t="inlineStr">
        <is>
          <t>Transactional</t>
        </is>
      </c>
      <c r="F63" s="63" t="inlineStr">
        <is>
          <t>India</t>
        </is>
      </c>
      <c r="G63" s="64" t="n">
        <v>320</v>
      </c>
      <c r="H63" s="64" t="n">
        <v>720</v>
      </c>
      <c r="I63" s="64" t="n">
        <v>26</v>
      </c>
      <c r="J63" s="65">
        <f>100-I63</f>
        <v/>
      </c>
      <c r="K63" s="65" t="n">
        <v>100</v>
      </c>
      <c r="L63" s="66">
        <f>ROUND((G63/MAX($G$5:$G$271)*100*0.4)+(J63*0.35)+(K63*0.25),1)</f>
        <v/>
      </c>
      <c r="M63" s="63">
        <f>IF(L63&gt;=62,"1 - Do now",IF(L63&gt;=52,"2 - Next",IF(L63&gt;=44,"3 - Later","4 - Backlog")))</f>
        <v/>
      </c>
      <c r="N63" s="63" t="inlineStr">
        <is>
          <t>/products/alligator-shear</t>
        </is>
      </c>
    </row>
    <row r="64" ht="15" customHeight="1" s="54">
      <c r="A64" s="67" t="n">
        <v>60</v>
      </c>
      <c r="B64" s="67" t="inlineStr">
        <is>
          <t>crocodile shear machine for scrap</t>
        </is>
      </c>
      <c r="C64" s="67" t="inlineStr">
        <is>
          <t>Shears &amp; Nibblers</t>
        </is>
      </c>
      <c r="D64" s="67" t="inlineStr">
        <is>
          <t>Shear</t>
        </is>
      </c>
      <c r="E64" s="67" t="inlineStr">
        <is>
          <t>Transactional</t>
        </is>
      </c>
      <c r="F64" s="67" t="inlineStr">
        <is>
          <t>India+Export</t>
        </is>
      </c>
      <c r="G64" s="68" t="n">
        <v>210</v>
      </c>
      <c r="H64" s="68" t="n">
        <v>480</v>
      </c>
      <c r="I64" s="68" t="n">
        <v>22</v>
      </c>
      <c r="J64" s="69">
        <f>100-I64</f>
        <v/>
      </c>
      <c r="K64" s="69" t="n">
        <v>100</v>
      </c>
      <c r="L64" s="70">
        <f>ROUND((G64/MAX($G$5:$G$271)*100*0.4)+(J64*0.35)+(K64*0.25),1)</f>
        <v/>
      </c>
      <c r="M64" s="67">
        <f>IF(L64&gt;=62,"1 - Do now",IF(L64&gt;=52,"2 - Next",IF(L64&gt;=44,"3 - Later","4 - Backlog")))</f>
        <v/>
      </c>
      <c r="N64" s="67" t="inlineStr">
        <is>
          <t>/products/alligator-shear</t>
        </is>
      </c>
    </row>
    <row r="65" ht="15" customHeight="1" s="54">
      <c r="A65" s="63" t="n">
        <v>61</v>
      </c>
      <c r="B65" s="63" t="inlineStr">
        <is>
          <t>lever shear machine</t>
        </is>
      </c>
      <c r="C65" s="63" t="inlineStr">
        <is>
          <t>Shears &amp; Nibblers</t>
        </is>
      </c>
      <c r="D65" s="63" t="inlineStr">
        <is>
          <t>Shear</t>
        </is>
      </c>
      <c r="E65" s="63" t="inlineStr">
        <is>
          <t>Transactional</t>
        </is>
      </c>
      <c r="F65" s="63" t="inlineStr">
        <is>
          <t>India+Export</t>
        </is>
      </c>
      <c r="G65" s="64" t="n">
        <v>140</v>
      </c>
      <c r="H65" s="64" t="n">
        <v>590</v>
      </c>
      <c r="I65" s="64" t="n">
        <v>24</v>
      </c>
      <c r="J65" s="65">
        <f>100-I65</f>
        <v/>
      </c>
      <c r="K65" s="65" t="n">
        <v>100</v>
      </c>
      <c r="L65" s="66">
        <f>ROUND((G65/MAX($G$5:$G$271)*100*0.4)+(J65*0.35)+(K65*0.25),1)</f>
        <v/>
      </c>
      <c r="M65" s="63">
        <f>IF(L65&gt;=62,"1 - Do now",IF(L65&gt;=52,"2 - Next",IF(L65&gt;=44,"3 - Later","4 - Backlog")))</f>
        <v/>
      </c>
      <c r="N65" s="63" t="inlineStr">
        <is>
          <t>/products/alligator-shear</t>
        </is>
      </c>
    </row>
    <row r="66" ht="15" customHeight="1" s="54">
      <c r="A66" s="67" t="n">
        <v>62</v>
      </c>
      <c r="B66" s="67" t="inlineStr">
        <is>
          <t>scrap cutting machine tmt bar</t>
        </is>
      </c>
      <c r="C66" s="67" t="inlineStr">
        <is>
          <t>Shears &amp; Nibblers</t>
        </is>
      </c>
      <c r="D66" s="67" t="inlineStr">
        <is>
          <t>Shear</t>
        </is>
      </c>
      <c r="E66" s="67" t="inlineStr">
        <is>
          <t>Transactional</t>
        </is>
      </c>
      <c r="F66" s="67" t="inlineStr">
        <is>
          <t>India</t>
        </is>
      </c>
      <c r="G66" s="68" t="n">
        <v>390</v>
      </c>
      <c r="H66" s="68" t="n">
        <v>590</v>
      </c>
      <c r="I66" s="68" t="n">
        <v>28</v>
      </c>
      <c r="J66" s="69">
        <f>100-I66</f>
        <v/>
      </c>
      <c r="K66" s="69" t="n">
        <v>100</v>
      </c>
      <c r="L66" s="70">
        <f>ROUND((G66/MAX($G$5:$G$271)*100*0.4)+(J66*0.35)+(K66*0.25),1)</f>
        <v/>
      </c>
      <c r="M66" s="67">
        <f>IF(L66&gt;=62,"1 - Do now",IF(L66&gt;=52,"2 - Next",IF(L66&gt;=44,"3 - Later","4 - Backlog")))</f>
        <v/>
      </c>
      <c r="N66" s="67" t="inlineStr">
        <is>
          <t>/products/alligator-shear</t>
        </is>
      </c>
    </row>
    <row r="67" ht="15" customHeight="1" s="54">
      <c r="A67" s="63" t="n">
        <v>63</v>
      </c>
      <c r="B67" s="63" t="inlineStr">
        <is>
          <t>scrap metal shearing machine</t>
        </is>
      </c>
      <c r="C67" s="63" t="inlineStr">
        <is>
          <t>Shears &amp; Nibblers</t>
        </is>
      </c>
      <c r="D67" s="63" t="inlineStr">
        <is>
          <t>Shear</t>
        </is>
      </c>
      <c r="E67" s="63" t="inlineStr">
        <is>
          <t>Transactional</t>
        </is>
      </c>
      <c r="F67" s="63" t="inlineStr">
        <is>
          <t>India+Export</t>
        </is>
      </c>
      <c r="G67" s="64" t="n">
        <v>480</v>
      </c>
      <c r="H67" s="64" t="n">
        <v>1900</v>
      </c>
      <c r="I67" s="64" t="n">
        <v>32</v>
      </c>
      <c r="J67" s="65">
        <f>100-I67</f>
        <v/>
      </c>
      <c r="K67" s="65" t="n">
        <v>100</v>
      </c>
      <c r="L67" s="66">
        <f>ROUND((G67/MAX($G$5:$G$271)*100*0.4)+(J67*0.35)+(K67*0.25),1)</f>
        <v/>
      </c>
      <c r="M67" s="63">
        <f>IF(L67&gt;=62,"1 - Do now",IF(L67&gt;=52,"2 - Next",IF(L67&gt;=44,"3 - Later","4 - Backlog")))</f>
        <v/>
      </c>
      <c r="N67" s="63" t="inlineStr">
        <is>
          <t>/products/alligator-shear</t>
        </is>
      </c>
    </row>
    <row r="68" ht="15" customHeight="1" s="54">
      <c r="A68" s="67" t="n">
        <v>64</v>
      </c>
      <c r="B68" s="67" t="inlineStr">
        <is>
          <t>box shear machine for scrap</t>
        </is>
      </c>
      <c r="C68" s="67" t="inlineStr">
        <is>
          <t>Shears &amp; Nibblers</t>
        </is>
      </c>
      <c r="D68" s="67" t="inlineStr">
        <is>
          <t>Shear</t>
        </is>
      </c>
      <c r="E68" s="67" t="inlineStr">
        <is>
          <t>Transactional</t>
        </is>
      </c>
      <c r="F68" s="67" t="inlineStr">
        <is>
          <t>India+Export</t>
        </is>
      </c>
      <c r="G68" s="68" t="n">
        <v>140</v>
      </c>
      <c r="H68" s="68" t="n">
        <v>320</v>
      </c>
      <c r="I68" s="68" t="n">
        <v>20</v>
      </c>
      <c r="J68" s="69">
        <f>100-I68</f>
        <v/>
      </c>
      <c r="K68" s="69" t="n">
        <v>100</v>
      </c>
      <c r="L68" s="70">
        <f>ROUND((G68/MAX($G$5:$G$271)*100*0.4)+(J68*0.35)+(K68*0.25),1)</f>
        <v/>
      </c>
      <c r="M68" s="67">
        <f>IF(L68&gt;=62,"1 - Do now",IF(L68&gt;=52,"2 - Next",IF(L68&gt;=44,"3 - Later","4 - Backlog")))</f>
        <v/>
      </c>
      <c r="N68" s="67" t="inlineStr">
        <is>
          <t>/products/box-shear</t>
        </is>
      </c>
    </row>
    <row r="69" ht="15" customHeight="1" s="54">
      <c r="A69" s="63" t="n">
        <v>65</v>
      </c>
      <c r="B69" s="63" t="inlineStr">
        <is>
          <t>inclined shear machine</t>
        </is>
      </c>
      <c r="C69" s="63" t="inlineStr">
        <is>
          <t>Shears &amp; Nibblers</t>
        </is>
      </c>
      <c r="D69" s="63" t="inlineStr">
        <is>
          <t>Shear</t>
        </is>
      </c>
      <c r="E69" s="63" t="inlineStr">
        <is>
          <t>Transactional</t>
        </is>
      </c>
      <c r="F69" s="63" t="inlineStr">
        <is>
          <t>India+Export</t>
        </is>
      </c>
      <c r="G69" s="64" t="n">
        <v>90</v>
      </c>
      <c r="H69" s="64" t="n">
        <v>260</v>
      </c>
      <c r="I69" s="64" t="n">
        <v>18</v>
      </c>
      <c r="J69" s="65">
        <f>100-I69</f>
        <v/>
      </c>
      <c r="K69" s="65" t="n">
        <v>100</v>
      </c>
      <c r="L69" s="66">
        <f>ROUND((G69/MAX($G$5:$G$271)*100*0.4)+(J69*0.35)+(K69*0.25),1)</f>
        <v/>
      </c>
      <c r="M69" s="63">
        <f>IF(L69&gt;=62,"1 - Do now",IF(L69&gt;=52,"2 - Next",IF(L69&gt;=44,"3 - Later","4 - Backlog")))</f>
        <v/>
      </c>
      <c r="N69" s="63" t="inlineStr">
        <is>
          <t>/products/inclined-shear-baler</t>
        </is>
      </c>
    </row>
    <row r="70" ht="15" customHeight="1" s="54">
      <c r="A70" s="67" t="n">
        <v>66</v>
      </c>
      <c r="B70" s="67" t="inlineStr">
        <is>
          <t>guillotine shear for scrap metal</t>
        </is>
      </c>
      <c r="C70" s="67" t="inlineStr">
        <is>
          <t>Shears &amp; Nibblers</t>
        </is>
      </c>
      <c r="D70" s="67" t="inlineStr">
        <is>
          <t>Shear</t>
        </is>
      </c>
      <c r="E70" s="67" t="inlineStr">
        <is>
          <t>Transactional</t>
        </is>
      </c>
      <c r="F70" s="67" t="inlineStr">
        <is>
          <t>India+Export</t>
        </is>
      </c>
      <c r="G70" s="68" t="n">
        <v>210</v>
      </c>
      <c r="H70" s="68" t="n">
        <v>1300</v>
      </c>
      <c r="I70" s="68" t="n">
        <v>30</v>
      </c>
      <c r="J70" s="69">
        <f>100-I70</f>
        <v/>
      </c>
      <c r="K70" s="69" t="n">
        <v>100</v>
      </c>
      <c r="L70" s="70">
        <f>ROUND((G70/MAX($G$5:$G$271)*100*0.4)+(J70*0.35)+(K70*0.25),1)</f>
        <v/>
      </c>
      <c r="M70" s="67">
        <f>IF(L70&gt;=62,"1 - Do now",IF(L70&gt;=52,"2 - Next",IF(L70&gt;=44,"3 - Later","4 - Backlog")))</f>
        <v/>
      </c>
      <c r="N70" s="67" t="inlineStr">
        <is>
          <t>/products/alligator-shear</t>
        </is>
      </c>
    </row>
    <row r="71" ht="15" customHeight="1" s="54">
      <c r="A71" s="63" t="n">
        <v>67</v>
      </c>
      <c r="B71" s="63" t="inlineStr">
        <is>
          <t>cable cutting machine scrap</t>
        </is>
      </c>
      <c r="C71" s="63" t="inlineStr">
        <is>
          <t>Shears &amp; Nibblers</t>
        </is>
      </c>
      <c r="D71" s="63" t="inlineStr">
        <is>
          <t>Shear</t>
        </is>
      </c>
      <c r="E71" s="63" t="inlineStr">
        <is>
          <t>Transactional</t>
        </is>
      </c>
      <c r="F71" s="63" t="inlineStr">
        <is>
          <t>India+Export</t>
        </is>
      </c>
      <c r="G71" s="64" t="n">
        <v>170</v>
      </c>
      <c r="H71" s="64" t="n">
        <v>590</v>
      </c>
      <c r="I71" s="64" t="n">
        <v>22</v>
      </c>
      <c r="J71" s="65">
        <f>100-I71</f>
        <v/>
      </c>
      <c r="K71" s="65" t="n">
        <v>100</v>
      </c>
      <c r="L71" s="66">
        <f>ROUND((G71/MAX($G$5:$G$271)*100*0.4)+(J71*0.35)+(K71*0.25),1)</f>
        <v/>
      </c>
      <c r="M71" s="63">
        <f>IF(L71&gt;=62,"1 - Do now",IF(L71&gt;=52,"2 - Next",IF(L71&gt;=44,"3 - Later","4 - Backlog")))</f>
        <v/>
      </c>
      <c r="N71" s="63" t="inlineStr">
        <is>
          <t>/products/alligator-shear</t>
        </is>
      </c>
    </row>
    <row r="72" ht="15" customHeight="1" s="54">
      <c r="A72" s="67" t="n">
        <v>68</v>
      </c>
      <c r="B72" s="67" t="inlineStr">
        <is>
          <t>hydraulic nibbler machine</t>
        </is>
      </c>
      <c r="C72" s="67" t="inlineStr">
        <is>
          <t>Shears &amp; Nibblers</t>
        </is>
      </c>
      <c r="D72" s="67" t="inlineStr">
        <is>
          <t>Nibbler</t>
        </is>
      </c>
      <c r="E72" s="67" t="inlineStr">
        <is>
          <t>Transactional</t>
        </is>
      </c>
      <c r="F72" s="67" t="inlineStr">
        <is>
          <t>India+Export</t>
        </is>
      </c>
      <c r="G72" s="68" t="n">
        <v>260</v>
      </c>
      <c r="H72" s="68" t="n">
        <v>880</v>
      </c>
      <c r="I72" s="68" t="n">
        <v>25</v>
      </c>
      <c r="J72" s="69">
        <f>100-I72</f>
        <v/>
      </c>
      <c r="K72" s="69" t="n">
        <v>100</v>
      </c>
      <c r="L72" s="70">
        <f>ROUND((G72/MAX($G$5:$G$271)*100*0.4)+(J72*0.35)+(K72*0.25),1)</f>
        <v/>
      </c>
      <c r="M72" s="67">
        <f>IF(L72&gt;=62,"1 - Do now",IF(L72&gt;=52,"2 - Next",IF(L72&gt;=44,"3 - Later","4 - Backlog")))</f>
        <v/>
      </c>
      <c r="N72" s="67" t="inlineStr">
        <is>
          <t>/products/nibblers</t>
        </is>
      </c>
    </row>
    <row r="73" ht="15" customHeight="1" s="54">
      <c r="A73" s="63" t="n">
        <v>69</v>
      </c>
      <c r="B73" s="63" t="inlineStr">
        <is>
          <t>sheet metal nibbling machine india</t>
        </is>
      </c>
      <c r="C73" s="63" t="inlineStr">
        <is>
          <t>Shears &amp; Nibblers</t>
        </is>
      </c>
      <c r="D73" s="63" t="inlineStr">
        <is>
          <t>Nibbler</t>
        </is>
      </c>
      <c r="E73" s="63" t="inlineStr">
        <is>
          <t>Transactional</t>
        </is>
      </c>
      <c r="F73" s="63" t="inlineStr">
        <is>
          <t>India</t>
        </is>
      </c>
      <c r="G73" s="64" t="n">
        <v>140</v>
      </c>
      <c r="H73" s="64" t="n">
        <v>260</v>
      </c>
      <c r="I73" s="64" t="n">
        <v>20</v>
      </c>
      <c r="J73" s="65">
        <f>100-I73</f>
        <v/>
      </c>
      <c r="K73" s="65" t="n">
        <v>100</v>
      </c>
      <c r="L73" s="66">
        <f>ROUND((G73/MAX($G$5:$G$271)*100*0.4)+(J73*0.35)+(K73*0.25),1)</f>
        <v/>
      </c>
      <c r="M73" s="63">
        <f>IF(L73&gt;=62,"1 - Do now",IF(L73&gt;=52,"2 - Next",IF(L73&gt;=44,"3 - Later","4 - Backlog")))</f>
        <v/>
      </c>
      <c r="N73" s="63" t="inlineStr">
        <is>
          <t>/products/nibblers</t>
        </is>
      </c>
    </row>
    <row r="74" ht="15" customHeight="1" s="54">
      <c r="A74" s="67" t="n">
        <v>70</v>
      </c>
      <c r="B74" s="67" t="inlineStr">
        <is>
          <t>mechanical nibbler machine price</t>
        </is>
      </c>
      <c r="C74" s="67" t="inlineStr">
        <is>
          <t>Shears &amp; Nibblers</t>
        </is>
      </c>
      <c r="D74" s="67" t="inlineStr">
        <is>
          <t>Nibbler</t>
        </is>
      </c>
      <c r="E74" s="67" t="inlineStr">
        <is>
          <t>Transactional</t>
        </is>
      </c>
      <c r="F74" s="67" t="inlineStr">
        <is>
          <t>India</t>
        </is>
      </c>
      <c r="G74" s="68" t="n">
        <v>110</v>
      </c>
      <c r="H74" s="68" t="n">
        <v>390</v>
      </c>
      <c r="I74" s="68" t="n">
        <v>19</v>
      </c>
      <c r="J74" s="69">
        <f>100-I74</f>
        <v/>
      </c>
      <c r="K74" s="69" t="n">
        <v>100</v>
      </c>
      <c r="L74" s="70">
        <f>ROUND((G74/MAX($G$5:$G$271)*100*0.4)+(J74*0.35)+(K74*0.25),1)</f>
        <v/>
      </c>
      <c r="M74" s="67">
        <f>IF(L74&gt;=62,"1 - Do now",IF(L74&gt;=52,"2 - Next",IF(L74&gt;=44,"3 - Later","4 - Backlog")))</f>
        <v/>
      </c>
      <c r="N74" s="67" t="inlineStr">
        <is>
          <t>/products/nibblers</t>
        </is>
      </c>
    </row>
    <row r="75" ht="15" customHeight="1" s="54">
      <c r="A75" s="63" t="n">
        <v>71</v>
      </c>
      <c r="B75" s="63" t="inlineStr">
        <is>
          <t>metal shredder machine</t>
        </is>
      </c>
      <c r="C75" s="63" t="inlineStr">
        <is>
          <t>Shredders &amp; Crackers</t>
        </is>
      </c>
      <c r="D75" s="63" t="inlineStr">
        <is>
          <t>Shredder</t>
        </is>
      </c>
      <c r="E75" s="63" t="inlineStr">
        <is>
          <t>Transactional</t>
        </is>
      </c>
      <c r="F75" s="63" t="inlineStr">
        <is>
          <t>India+Export</t>
        </is>
      </c>
      <c r="G75" s="64" t="n">
        <v>880</v>
      </c>
      <c r="H75" s="64" t="n">
        <v>4400</v>
      </c>
      <c r="I75" s="64" t="n">
        <v>48</v>
      </c>
      <c r="J75" s="65">
        <f>100-I75</f>
        <v/>
      </c>
      <c r="K75" s="65" t="n">
        <v>100</v>
      </c>
      <c r="L75" s="66">
        <f>ROUND((G75/MAX($G$5:$G$271)*100*0.4)+(J75*0.35)+(K75*0.25),1)</f>
        <v/>
      </c>
      <c r="M75" s="63">
        <f>IF(L75&gt;=62,"1 - Do now",IF(L75&gt;=52,"2 - Next",IF(L75&gt;=44,"3 - Later","4 - Backlog")))</f>
        <v/>
      </c>
      <c r="N75" s="63" t="inlineStr">
        <is>
          <t>/products/shredders</t>
        </is>
      </c>
    </row>
    <row r="76" ht="15" customHeight="1" s="54">
      <c r="A76" s="67" t="n">
        <v>72</v>
      </c>
      <c r="B76" s="67" t="inlineStr">
        <is>
          <t>scrap shredder machine price</t>
        </is>
      </c>
      <c r="C76" s="67" t="inlineStr">
        <is>
          <t>Shredders &amp; Crackers</t>
        </is>
      </c>
      <c r="D76" s="67" t="inlineStr">
        <is>
          <t>Shredder</t>
        </is>
      </c>
      <c r="E76" s="67" t="inlineStr">
        <is>
          <t>Transactional</t>
        </is>
      </c>
      <c r="F76" s="67" t="inlineStr">
        <is>
          <t>India+Export</t>
        </is>
      </c>
      <c r="G76" s="68" t="n">
        <v>590</v>
      </c>
      <c r="H76" s="68" t="n">
        <v>1900</v>
      </c>
      <c r="I76" s="68" t="n">
        <v>40</v>
      </c>
      <c r="J76" s="69">
        <f>100-I76</f>
        <v/>
      </c>
      <c r="K76" s="69" t="n">
        <v>100</v>
      </c>
      <c r="L76" s="70">
        <f>ROUND((G76/MAX($G$5:$G$271)*100*0.4)+(J76*0.35)+(K76*0.25),1)</f>
        <v/>
      </c>
      <c r="M76" s="67">
        <f>IF(L76&gt;=62,"1 - Do now",IF(L76&gt;=52,"2 - Next",IF(L76&gt;=44,"3 - Later","4 - Backlog")))</f>
        <v/>
      </c>
      <c r="N76" s="67" t="inlineStr">
        <is>
          <t>/products/shredders</t>
        </is>
      </c>
    </row>
    <row r="77" ht="15" customHeight="1" s="54">
      <c r="A77" s="63" t="n">
        <v>73</v>
      </c>
      <c r="B77" s="63" t="inlineStr">
        <is>
          <t>single shaft shredder</t>
        </is>
      </c>
      <c r="C77" s="63" t="inlineStr">
        <is>
          <t>Shredders &amp; Crackers</t>
        </is>
      </c>
      <c r="D77" s="63" t="inlineStr">
        <is>
          <t>Shredder</t>
        </is>
      </c>
      <c r="E77" s="63" t="inlineStr">
        <is>
          <t>Transactional</t>
        </is>
      </c>
      <c r="F77" s="63" t="inlineStr">
        <is>
          <t>India+Export</t>
        </is>
      </c>
      <c r="G77" s="64" t="n">
        <v>480</v>
      </c>
      <c r="H77" s="64" t="n">
        <v>2900</v>
      </c>
      <c r="I77" s="64" t="n">
        <v>41</v>
      </c>
      <c r="J77" s="65">
        <f>100-I77</f>
        <v/>
      </c>
      <c r="K77" s="65" t="n">
        <v>100</v>
      </c>
      <c r="L77" s="66">
        <f>ROUND((G77/MAX($G$5:$G$271)*100*0.4)+(J77*0.35)+(K77*0.25),1)</f>
        <v/>
      </c>
      <c r="M77" s="63">
        <f>IF(L77&gt;=62,"1 - Do now",IF(L77&gt;=52,"2 - Next",IF(L77&gt;=44,"3 - Later","4 - Backlog")))</f>
        <v/>
      </c>
      <c r="N77" s="63" t="inlineStr">
        <is>
          <t>/products/single-shaft-shredder</t>
        </is>
      </c>
    </row>
    <row r="78" ht="15" customHeight="1" s="54">
      <c r="A78" s="67" t="n">
        <v>74</v>
      </c>
      <c r="B78" s="67" t="inlineStr">
        <is>
          <t>twin shaft shredder machine</t>
        </is>
      </c>
      <c r="C78" s="67" t="inlineStr">
        <is>
          <t>Shredders &amp; Crackers</t>
        </is>
      </c>
      <c r="D78" s="67" t="inlineStr">
        <is>
          <t>Shredder</t>
        </is>
      </c>
      <c r="E78" s="67" t="inlineStr">
        <is>
          <t>Transactional</t>
        </is>
      </c>
      <c r="F78" s="67" t="inlineStr">
        <is>
          <t>India+Export</t>
        </is>
      </c>
      <c r="G78" s="68" t="n">
        <v>390</v>
      </c>
      <c r="H78" s="68" t="n">
        <v>1900</v>
      </c>
      <c r="I78" s="68" t="n">
        <v>38</v>
      </c>
      <c r="J78" s="69">
        <f>100-I78</f>
        <v/>
      </c>
      <c r="K78" s="69" t="n">
        <v>100</v>
      </c>
      <c r="L78" s="70">
        <f>ROUND((G78/MAX($G$5:$G$271)*100*0.4)+(J78*0.35)+(K78*0.25),1)</f>
        <v/>
      </c>
      <c r="M78" s="67">
        <f>IF(L78&gt;=62,"1 - Do now",IF(L78&gt;=52,"2 - Next",IF(L78&gt;=44,"3 - Later","4 - Backlog")))</f>
        <v/>
      </c>
      <c r="N78" s="67" t="inlineStr">
        <is>
          <t>/products/twin-shaft-shredder</t>
        </is>
      </c>
    </row>
    <row r="79" ht="15" customHeight="1" s="54">
      <c r="A79" s="63" t="n">
        <v>75</v>
      </c>
      <c r="B79" s="63" t="inlineStr">
        <is>
          <t>double shaft shredder price</t>
        </is>
      </c>
      <c r="C79" s="63" t="inlineStr">
        <is>
          <t>Shredders &amp; Crackers</t>
        </is>
      </c>
      <c r="D79" s="63" t="inlineStr">
        <is>
          <t>Shredder</t>
        </is>
      </c>
      <c r="E79" s="63" t="inlineStr">
        <is>
          <t>Transactional</t>
        </is>
      </c>
      <c r="F79" s="63" t="inlineStr">
        <is>
          <t>India+Export</t>
        </is>
      </c>
      <c r="G79" s="64" t="n">
        <v>260</v>
      </c>
      <c r="H79" s="64" t="n">
        <v>1600</v>
      </c>
      <c r="I79" s="64" t="n">
        <v>35</v>
      </c>
      <c r="J79" s="65">
        <f>100-I79</f>
        <v/>
      </c>
      <c r="K79" s="65" t="n">
        <v>100</v>
      </c>
      <c r="L79" s="66">
        <f>ROUND((G79/MAX($G$5:$G$271)*100*0.4)+(J79*0.35)+(K79*0.25),1)</f>
        <v/>
      </c>
      <c r="M79" s="63">
        <f>IF(L79&gt;=62,"1 - Do now",IF(L79&gt;=52,"2 - Next",IF(L79&gt;=44,"3 - Later","4 - Backlog")))</f>
        <v/>
      </c>
      <c r="N79" s="63" t="inlineStr">
        <is>
          <t>/products/twin-shaft-shredder</t>
        </is>
      </c>
    </row>
    <row r="80" ht="15" customHeight="1" s="54">
      <c r="A80" s="67" t="n">
        <v>76</v>
      </c>
      <c r="B80" s="67" t="inlineStr">
        <is>
          <t>hammer mill shredder for scrap</t>
        </is>
      </c>
      <c r="C80" s="67" t="inlineStr">
        <is>
          <t>Shredders &amp; Crackers</t>
        </is>
      </c>
      <c r="D80" s="67" t="inlineStr">
        <is>
          <t>Shredder</t>
        </is>
      </c>
      <c r="E80" s="67" t="inlineStr">
        <is>
          <t>Transactional</t>
        </is>
      </c>
      <c r="F80" s="67" t="inlineStr">
        <is>
          <t>India+Export</t>
        </is>
      </c>
      <c r="G80" s="68" t="n">
        <v>260</v>
      </c>
      <c r="H80" s="68" t="n">
        <v>1300</v>
      </c>
      <c r="I80" s="68" t="n">
        <v>35</v>
      </c>
      <c r="J80" s="69">
        <f>100-I80</f>
        <v/>
      </c>
      <c r="K80" s="69" t="n">
        <v>100</v>
      </c>
      <c r="L80" s="70">
        <f>ROUND((G80/MAX($G$5:$G$271)*100*0.4)+(J80*0.35)+(K80*0.25),1)</f>
        <v/>
      </c>
      <c r="M80" s="67">
        <f>IF(L80&gt;=62,"1 - Do now",IF(L80&gt;=52,"2 - Next",IF(L80&gt;=44,"3 - Later","4 - Backlog")))</f>
        <v/>
      </c>
      <c r="N80" s="67" t="inlineStr">
        <is>
          <t>/products/hammer-mill-shredder</t>
        </is>
      </c>
    </row>
    <row r="81" ht="15" customHeight="1" s="54">
      <c r="A81" s="63" t="n">
        <v>77</v>
      </c>
      <c r="B81" s="63" t="inlineStr">
        <is>
          <t>industrial waste shredder india</t>
        </is>
      </c>
      <c r="C81" s="63" t="inlineStr">
        <is>
          <t>Shredders &amp; Crackers</t>
        </is>
      </c>
      <c r="D81" s="63" t="inlineStr">
        <is>
          <t>Shredder</t>
        </is>
      </c>
      <c r="E81" s="63" t="inlineStr">
        <is>
          <t>Transactional</t>
        </is>
      </c>
      <c r="F81" s="63" t="inlineStr">
        <is>
          <t>India</t>
        </is>
      </c>
      <c r="G81" s="64" t="n">
        <v>320</v>
      </c>
      <c r="H81" s="64" t="n">
        <v>480</v>
      </c>
      <c r="I81" s="64" t="n">
        <v>33</v>
      </c>
      <c r="J81" s="65">
        <f>100-I81</f>
        <v/>
      </c>
      <c r="K81" s="65" t="n">
        <v>100</v>
      </c>
      <c r="L81" s="66">
        <f>ROUND((G81/MAX($G$5:$G$271)*100*0.4)+(J81*0.35)+(K81*0.25),1)</f>
        <v/>
      </c>
      <c r="M81" s="63">
        <f>IF(L81&gt;=62,"1 - Do now",IF(L81&gt;=52,"2 - Next",IF(L81&gt;=44,"3 - Later","4 - Backlog")))</f>
        <v/>
      </c>
      <c r="N81" s="63" t="inlineStr">
        <is>
          <t>/products/shredders</t>
        </is>
      </c>
    </row>
    <row r="82" ht="15" customHeight="1" s="54">
      <c r="A82" s="67" t="n">
        <v>78</v>
      </c>
      <c r="B82" s="67" t="inlineStr">
        <is>
          <t>plastic shredder machine price</t>
        </is>
      </c>
      <c r="C82" s="67" t="inlineStr">
        <is>
          <t>Shredders &amp; Crackers</t>
        </is>
      </c>
      <c r="D82" s="67" t="inlineStr">
        <is>
          <t>Shredder</t>
        </is>
      </c>
      <c r="E82" s="67" t="inlineStr">
        <is>
          <t>Transactional</t>
        </is>
      </c>
      <c r="F82" s="67" t="inlineStr">
        <is>
          <t>India+Export</t>
        </is>
      </c>
      <c r="G82" s="68" t="n">
        <v>720</v>
      </c>
      <c r="H82" s="68" t="n">
        <v>3600</v>
      </c>
      <c r="I82" s="68" t="n">
        <v>44</v>
      </c>
      <c r="J82" s="69">
        <f>100-I82</f>
        <v/>
      </c>
      <c r="K82" s="69" t="n">
        <v>100</v>
      </c>
      <c r="L82" s="70">
        <f>ROUND((G82/MAX($G$5:$G$271)*100*0.4)+(J82*0.35)+(K82*0.25),1)</f>
        <v/>
      </c>
      <c r="M82" s="67">
        <f>IF(L82&gt;=62,"1 - Do now",IF(L82&gt;=52,"2 - Next",IF(L82&gt;=44,"3 - Later","4 - Backlog")))</f>
        <v/>
      </c>
      <c r="N82" s="67" t="inlineStr">
        <is>
          <t>/products/shredders</t>
        </is>
      </c>
    </row>
    <row r="83" ht="15" customHeight="1" s="54">
      <c r="A83" s="63" t="n">
        <v>79</v>
      </c>
      <c r="B83" s="63" t="inlineStr">
        <is>
          <t>tyre shredder machine india</t>
        </is>
      </c>
      <c r="C83" s="63" t="inlineStr">
        <is>
          <t>Shredders &amp; Crackers</t>
        </is>
      </c>
      <c r="D83" s="63" t="inlineStr">
        <is>
          <t>Shredder</t>
        </is>
      </c>
      <c r="E83" s="63" t="inlineStr">
        <is>
          <t>Transactional</t>
        </is>
      </c>
      <c r="F83" s="63" t="inlineStr">
        <is>
          <t>India</t>
        </is>
      </c>
      <c r="G83" s="64" t="n">
        <v>390</v>
      </c>
      <c r="H83" s="64" t="n">
        <v>1600</v>
      </c>
      <c r="I83" s="64" t="n">
        <v>37</v>
      </c>
      <c r="J83" s="65">
        <f>100-I83</f>
        <v/>
      </c>
      <c r="K83" s="65" t="n">
        <v>100</v>
      </c>
      <c r="L83" s="66">
        <f>ROUND((G83/MAX($G$5:$G$271)*100*0.4)+(J83*0.35)+(K83*0.25),1)</f>
        <v/>
      </c>
      <c r="M83" s="63">
        <f>IF(L83&gt;=62,"1 - Do now",IF(L83&gt;=52,"2 - Next",IF(L83&gt;=44,"3 - Later","4 - Backlog")))</f>
        <v/>
      </c>
      <c r="N83" s="63" t="inlineStr">
        <is>
          <t>/products/shredders</t>
        </is>
      </c>
    </row>
    <row r="84" ht="15" customHeight="1" s="54">
      <c r="A84" s="67" t="n">
        <v>80</v>
      </c>
      <c r="B84" s="67" t="inlineStr">
        <is>
          <t>e waste shredder machine</t>
        </is>
      </c>
      <c r="C84" s="67" t="inlineStr">
        <is>
          <t>Shredders &amp; Crackers</t>
        </is>
      </c>
      <c r="D84" s="67" t="inlineStr">
        <is>
          <t>Shredder</t>
        </is>
      </c>
      <c r="E84" s="67" t="inlineStr">
        <is>
          <t>Transactional</t>
        </is>
      </c>
      <c r="F84" s="67" t="inlineStr">
        <is>
          <t>India+Export</t>
        </is>
      </c>
      <c r="G84" s="68" t="n">
        <v>320</v>
      </c>
      <c r="H84" s="68" t="n">
        <v>1300</v>
      </c>
      <c r="I84" s="68" t="n">
        <v>36</v>
      </c>
      <c r="J84" s="69">
        <f>100-I84</f>
        <v/>
      </c>
      <c r="K84" s="69" t="n">
        <v>100</v>
      </c>
      <c r="L84" s="70">
        <f>ROUND((G84/MAX($G$5:$G$271)*100*0.4)+(J84*0.35)+(K84*0.25),1)</f>
        <v/>
      </c>
      <c r="M84" s="67">
        <f>IF(L84&gt;=62,"1 - Do now",IF(L84&gt;=52,"2 - Next",IF(L84&gt;=44,"3 - Later","4 - Backlog")))</f>
        <v/>
      </c>
      <c r="N84" s="67" t="inlineStr">
        <is>
          <t>/products/shredders</t>
        </is>
      </c>
    </row>
    <row r="85" ht="15" customHeight="1" s="54">
      <c r="A85" s="63" t="n">
        <v>81</v>
      </c>
      <c r="B85" s="63" t="inlineStr">
        <is>
          <t>wood shredder machine price</t>
        </is>
      </c>
      <c r="C85" s="63" t="inlineStr">
        <is>
          <t>Shredders &amp; Crackers</t>
        </is>
      </c>
      <c r="D85" s="63" t="inlineStr">
        <is>
          <t>Shredder</t>
        </is>
      </c>
      <c r="E85" s="63" t="inlineStr">
        <is>
          <t>Transactional</t>
        </is>
      </c>
      <c r="F85" s="63" t="inlineStr">
        <is>
          <t>India+Export</t>
        </is>
      </c>
      <c r="G85" s="64" t="n">
        <v>260</v>
      </c>
      <c r="H85" s="64" t="n">
        <v>1900</v>
      </c>
      <c r="I85" s="64" t="n">
        <v>34</v>
      </c>
      <c r="J85" s="65">
        <f>100-I85</f>
        <v/>
      </c>
      <c r="K85" s="65" t="n">
        <v>100</v>
      </c>
      <c r="L85" s="66">
        <f>ROUND((G85/MAX($G$5:$G$271)*100*0.4)+(J85*0.35)+(K85*0.25),1)</f>
        <v/>
      </c>
      <c r="M85" s="63">
        <f>IF(L85&gt;=62,"1 - Do now",IF(L85&gt;=52,"2 - Next",IF(L85&gt;=44,"3 - Later","4 - Backlog")))</f>
        <v/>
      </c>
      <c r="N85" s="63" t="inlineStr">
        <is>
          <t>/products/shredders</t>
        </is>
      </c>
    </row>
    <row r="86" ht="15" customHeight="1" s="54">
      <c r="A86" s="67" t="n">
        <v>82</v>
      </c>
      <c r="B86" s="67" t="inlineStr">
        <is>
          <t>casting cracker machine</t>
        </is>
      </c>
      <c r="C86" s="67" t="inlineStr">
        <is>
          <t>Shredders &amp; Crackers</t>
        </is>
      </c>
      <c r="D86" s="67" t="inlineStr">
        <is>
          <t>Cracker</t>
        </is>
      </c>
      <c r="E86" s="67" t="inlineStr">
        <is>
          <t>Transactional</t>
        </is>
      </c>
      <c r="F86" s="67" t="inlineStr">
        <is>
          <t>India+Export</t>
        </is>
      </c>
      <c r="G86" s="68" t="n">
        <v>90</v>
      </c>
      <c r="H86" s="68" t="n">
        <v>170</v>
      </c>
      <c r="I86" s="68" t="n">
        <v>15</v>
      </c>
      <c r="J86" s="69">
        <f>100-I86</f>
        <v/>
      </c>
      <c r="K86" s="69" t="n">
        <v>100</v>
      </c>
      <c r="L86" s="70">
        <f>ROUND((G86/MAX($G$5:$G$271)*100*0.4)+(J86*0.35)+(K86*0.25),1)</f>
        <v/>
      </c>
      <c r="M86" s="67">
        <f>IF(L86&gt;=62,"1 - Do now",IF(L86&gt;=52,"2 - Next",IF(L86&gt;=44,"3 - Later","4 - Backlog")))</f>
        <v/>
      </c>
      <c r="N86" s="67" t="inlineStr">
        <is>
          <t>/products/casting-cracker</t>
        </is>
      </c>
    </row>
    <row r="87" ht="15" customHeight="1" s="54">
      <c r="A87" s="63" t="n">
        <v>83</v>
      </c>
      <c r="B87" s="63" t="inlineStr">
        <is>
          <t>cast iron breaking machine</t>
        </is>
      </c>
      <c r="C87" s="63" t="inlineStr">
        <is>
          <t>Shredders &amp; Crackers</t>
        </is>
      </c>
      <c r="D87" s="63" t="inlineStr">
        <is>
          <t>Cracker</t>
        </is>
      </c>
      <c r="E87" s="63" t="inlineStr">
        <is>
          <t>Transactional</t>
        </is>
      </c>
      <c r="F87" s="63" t="inlineStr">
        <is>
          <t>India+Export</t>
        </is>
      </c>
      <c r="G87" s="64" t="n">
        <v>70</v>
      </c>
      <c r="H87" s="64" t="n">
        <v>210</v>
      </c>
      <c r="I87" s="64" t="n">
        <v>16</v>
      </c>
      <c r="J87" s="65">
        <f>100-I87</f>
        <v/>
      </c>
      <c r="K87" s="65" t="n">
        <v>100</v>
      </c>
      <c r="L87" s="66">
        <f>ROUND((G87/MAX($G$5:$G$271)*100*0.4)+(J87*0.35)+(K87*0.25),1)</f>
        <v/>
      </c>
      <c r="M87" s="63">
        <f>IF(L87&gt;=62,"1 - Do now",IF(L87&gt;=52,"2 - Next",IF(L87&gt;=44,"3 - Later","4 - Backlog")))</f>
        <v/>
      </c>
      <c r="N87" s="63" t="inlineStr">
        <is>
          <t>/products/casting-cracker</t>
        </is>
      </c>
    </row>
    <row r="88" ht="15" customHeight="1" s="54">
      <c r="A88" s="67" t="n">
        <v>84</v>
      </c>
      <c r="B88" s="67" t="inlineStr">
        <is>
          <t>shredder blade replacement cost</t>
        </is>
      </c>
      <c r="C88" s="67" t="inlineStr">
        <is>
          <t>Shredders &amp; Crackers</t>
        </is>
      </c>
      <c r="D88" s="67" t="inlineStr">
        <is>
          <t>Shredder service</t>
        </is>
      </c>
      <c r="E88" s="67" t="inlineStr">
        <is>
          <t>Commercial</t>
        </is>
      </c>
      <c r="F88" s="67" t="inlineStr">
        <is>
          <t>India+Export</t>
        </is>
      </c>
      <c r="G88" s="68" t="n">
        <v>110</v>
      </c>
      <c r="H88" s="68" t="n">
        <v>720</v>
      </c>
      <c r="I88" s="68" t="n">
        <v>18</v>
      </c>
      <c r="J88" s="69">
        <f>100-I88</f>
        <v/>
      </c>
      <c r="K88" s="69" t="n">
        <v>75</v>
      </c>
      <c r="L88" s="70">
        <f>ROUND((G88/MAX($G$5:$G$271)*100*0.4)+(J88*0.35)+(K88*0.25),1)</f>
        <v/>
      </c>
      <c r="M88" s="67">
        <f>IF(L88&gt;=62,"1 - Do now",IF(L88&gt;=52,"2 - Next",IF(L88&gt;=44,"3 - Later","4 - Backlog")))</f>
        <v/>
      </c>
      <c r="N88" s="67" t="inlineStr">
        <is>
          <t>/spares</t>
        </is>
      </c>
    </row>
    <row r="89" ht="15" customHeight="1" s="54">
      <c r="A89" s="63" t="n">
        <v>85</v>
      </c>
      <c r="B89" s="63" t="inlineStr">
        <is>
          <t>metal briquetting machine</t>
        </is>
      </c>
      <c r="C89" s="63" t="inlineStr">
        <is>
          <t>Briquetting</t>
        </is>
      </c>
      <c r="D89" s="63" t="inlineStr">
        <is>
          <t>Briquetting</t>
        </is>
      </c>
      <c r="E89" s="63" t="inlineStr">
        <is>
          <t>Transactional</t>
        </is>
      </c>
      <c r="F89" s="63" t="inlineStr">
        <is>
          <t>India+Export</t>
        </is>
      </c>
      <c r="G89" s="64" t="n">
        <v>480</v>
      </c>
      <c r="H89" s="64" t="n">
        <v>1900</v>
      </c>
      <c r="I89" s="64" t="n">
        <v>34</v>
      </c>
      <c r="J89" s="65">
        <f>100-I89</f>
        <v/>
      </c>
      <c r="K89" s="65" t="n">
        <v>100</v>
      </c>
      <c r="L89" s="66">
        <f>ROUND((G89/MAX($G$5:$G$271)*100*0.4)+(J89*0.35)+(K89*0.25),1)</f>
        <v/>
      </c>
      <c r="M89" s="63">
        <f>IF(L89&gt;=62,"1 - Do now",IF(L89&gt;=52,"2 - Next",IF(L89&gt;=44,"3 - Later","4 - Backlog")))</f>
        <v/>
      </c>
      <c r="N89" s="63" t="inlineStr">
        <is>
          <t>/products/briquetting</t>
        </is>
      </c>
    </row>
    <row r="90" ht="15" customHeight="1" s="54">
      <c r="A90" s="67" t="n">
        <v>86</v>
      </c>
      <c r="B90" s="67" t="inlineStr">
        <is>
          <t>briquetting press for metal chips</t>
        </is>
      </c>
      <c r="C90" s="67" t="inlineStr">
        <is>
          <t>Briquetting</t>
        </is>
      </c>
      <c r="D90" s="67" t="inlineStr">
        <is>
          <t>Briquetting</t>
        </is>
      </c>
      <c r="E90" s="67" t="inlineStr">
        <is>
          <t>Transactional</t>
        </is>
      </c>
      <c r="F90" s="67" t="inlineStr">
        <is>
          <t>India+Export</t>
        </is>
      </c>
      <c r="G90" s="68" t="n">
        <v>210</v>
      </c>
      <c r="H90" s="68" t="n">
        <v>880</v>
      </c>
      <c r="I90" s="68" t="n">
        <v>28</v>
      </c>
      <c r="J90" s="69">
        <f>100-I90</f>
        <v/>
      </c>
      <c r="K90" s="69" t="n">
        <v>100</v>
      </c>
      <c r="L90" s="70">
        <f>ROUND((G90/MAX($G$5:$G$271)*100*0.4)+(J90*0.35)+(K90*0.25),1)</f>
        <v/>
      </c>
      <c r="M90" s="67">
        <f>IF(L90&gt;=62,"1 - Do now",IF(L90&gt;=52,"2 - Next",IF(L90&gt;=44,"3 - Later","4 - Backlog")))</f>
        <v/>
      </c>
      <c r="N90" s="67" t="inlineStr">
        <is>
          <t>/products/briquetting</t>
        </is>
      </c>
    </row>
    <row r="91" ht="15" customHeight="1" s="54">
      <c r="A91" s="63" t="n">
        <v>87</v>
      </c>
      <c r="B91" s="63" t="inlineStr">
        <is>
          <t>aluminium chips briquetting machine</t>
        </is>
      </c>
      <c r="C91" s="63" t="inlineStr">
        <is>
          <t>Briquetting</t>
        </is>
      </c>
      <c r="D91" s="63" t="inlineStr">
        <is>
          <t>Briquetting</t>
        </is>
      </c>
      <c r="E91" s="63" t="inlineStr">
        <is>
          <t>Transactional</t>
        </is>
      </c>
      <c r="F91" s="63" t="inlineStr">
        <is>
          <t>India+Export</t>
        </is>
      </c>
      <c r="G91" s="64" t="n">
        <v>170</v>
      </c>
      <c r="H91" s="64" t="n">
        <v>590</v>
      </c>
      <c r="I91" s="64" t="n">
        <v>24</v>
      </c>
      <c r="J91" s="65">
        <f>100-I91</f>
        <v/>
      </c>
      <c r="K91" s="65" t="n">
        <v>100</v>
      </c>
      <c r="L91" s="66">
        <f>ROUND((G91/MAX($G$5:$G$271)*100*0.4)+(J91*0.35)+(K91*0.25),1)</f>
        <v/>
      </c>
      <c r="M91" s="63">
        <f>IF(L91&gt;=62,"1 - Do now",IF(L91&gt;=52,"2 - Next",IF(L91&gt;=44,"3 - Later","4 - Backlog")))</f>
        <v/>
      </c>
      <c r="N91" s="63" t="inlineStr">
        <is>
          <t>/products/briquetting</t>
        </is>
      </c>
    </row>
    <row r="92" ht="15" customHeight="1" s="54">
      <c r="A92" s="67" t="n">
        <v>88</v>
      </c>
      <c r="B92" s="67" t="inlineStr">
        <is>
          <t>swarf briquetting machine</t>
        </is>
      </c>
      <c r="C92" s="67" t="inlineStr">
        <is>
          <t>Briquetting</t>
        </is>
      </c>
      <c r="D92" s="67" t="inlineStr">
        <is>
          <t>Briquetting</t>
        </is>
      </c>
      <c r="E92" s="67" t="inlineStr">
        <is>
          <t>Transactional</t>
        </is>
      </c>
      <c r="F92" s="67" t="inlineStr">
        <is>
          <t>Export</t>
        </is>
      </c>
      <c r="G92" s="68" t="n">
        <v>90</v>
      </c>
      <c r="H92" s="68" t="n">
        <v>480</v>
      </c>
      <c r="I92" s="68" t="n">
        <v>21</v>
      </c>
      <c r="J92" s="69">
        <f>100-I92</f>
        <v/>
      </c>
      <c r="K92" s="69" t="n">
        <v>100</v>
      </c>
      <c r="L92" s="70">
        <f>ROUND((G92/MAX($G$5:$G$271)*100*0.4)+(J92*0.35)+(K92*0.25),1)</f>
        <v/>
      </c>
      <c r="M92" s="67">
        <f>IF(L92&gt;=62,"1 - Do now",IF(L92&gt;=52,"2 - Next",IF(L92&gt;=44,"3 - Later","4 - Backlog")))</f>
        <v/>
      </c>
      <c r="N92" s="67" t="inlineStr">
        <is>
          <t>/products/briquetting</t>
        </is>
      </c>
    </row>
    <row r="93" ht="15" customHeight="1" s="54">
      <c r="A93" s="63" t="n">
        <v>89</v>
      </c>
      <c r="B93" s="63" t="inlineStr">
        <is>
          <t>cast iron chips briquetting press</t>
        </is>
      </c>
      <c r="C93" s="63" t="inlineStr">
        <is>
          <t>Briquetting</t>
        </is>
      </c>
      <c r="D93" s="63" t="inlineStr">
        <is>
          <t>Briquetting</t>
        </is>
      </c>
      <c r="E93" s="63" t="inlineStr">
        <is>
          <t>Transactional</t>
        </is>
      </c>
      <c r="F93" s="63" t="inlineStr">
        <is>
          <t>India+Export</t>
        </is>
      </c>
      <c r="G93" s="64" t="n">
        <v>70</v>
      </c>
      <c r="H93" s="64" t="n">
        <v>260</v>
      </c>
      <c r="I93" s="64" t="n">
        <v>18</v>
      </c>
      <c r="J93" s="65">
        <f>100-I93</f>
        <v/>
      </c>
      <c r="K93" s="65" t="n">
        <v>100</v>
      </c>
      <c r="L93" s="66">
        <f>ROUND((G93/MAX($G$5:$G$271)*100*0.4)+(J93*0.35)+(K93*0.25),1)</f>
        <v/>
      </c>
      <c r="M93" s="63">
        <f>IF(L93&gt;=62,"1 - Do now",IF(L93&gt;=52,"2 - Next",IF(L93&gt;=44,"3 - Later","4 - Backlog")))</f>
        <v/>
      </c>
      <c r="N93" s="63" t="inlineStr">
        <is>
          <t>/products/briquetting</t>
        </is>
      </c>
    </row>
    <row r="94" ht="15" customHeight="1" s="54">
      <c r="A94" s="67" t="n">
        <v>90</v>
      </c>
      <c r="B94" s="67" t="inlineStr">
        <is>
          <t>vertical briquetting machine price</t>
        </is>
      </c>
      <c r="C94" s="67" t="inlineStr">
        <is>
          <t>Briquetting</t>
        </is>
      </c>
      <c r="D94" s="67" t="inlineStr">
        <is>
          <t>Briquetting</t>
        </is>
      </c>
      <c r="E94" s="67" t="inlineStr">
        <is>
          <t>Transactional</t>
        </is>
      </c>
      <c r="F94" s="67" t="inlineStr">
        <is>
          <t>India</t>
        </is>
      </c>
      <c r="G94" s="68" t="n">
        <v>140</v>
      </c>
      <c r="H94" s="68" t="n">
        <v>320</v>
      </c>
      <c r="I94" s="68" t="n">
        <v>22</v>
      </c>
      <c r="J94" s="69">
        <f>100-I94</f>
        <v/>
      </c>
      <c r="K94" s="69" t="n">
        <v>100</v>
      </c>
      <c r="L94" s="70">
        <f>ROUND((G94/MAX($G$5:$G$271)*100*0.4)+(J94*0.35)+(K94*0.25),1)</f>
        <v/>
      </c>
      <c r="M94" s="67">
        <f>IF(L94&gt;=62,"1 - Do now",IF(L94&gt;=52,"2 - Next",IF(L94&gt;=44,"3 - Later","4 - Backlog")))</f>
        <v/>
      </c>
      <c r="N94" s="67" t="inlineStr">
        <is>
          <t>/products/vertical-briquetting-machine</t>
        </is>
      </c>
    </row>
    <row r="95" ht="15" customHeight="1" s="54">
      <c r="A95" s="63" t="n">
        <v>91</v>
      </c>
      <c r="B95" s="63" t="inlineStr">
        <is>
          <t>horizontal briquetting press</t>
        </is>
      </c>
      <c r="C95" s="63" t="inlineStr">
        <is>
          <t>Briquetting</t>
        </is>
      </c>
      <c r="D95" s="63" t="inlineStr">
        <is>
          <t>Briquetting</t>
        </is>
      </c>
      <c r="E95" s="63" t="inlineStr">
        <is>
          <t>Transactional</t>
        </is>
      </c>
      <c r="F95" s="63" t="inlineStr">
        <is>
          <t>India+Export</t>
        </is>
      </c>
      <c r="G95" s="64" t="n">
        <v>110</v>
      </c>
      <c r="H95" s="64" t="n">
        <v>480</v>
      </c>
      <c r="I95" s="64" t="n">
        <v>23</v>
      </c>
      <c r="J95" s="65">
        <f>100-I95</f>
        <v/>
      </c>
      <c r="K95" s="65" t="n">
        <v>100</v>
      </c>
      <c r="L95" s="66">
        <f>ROUND((G95/MAX($G$5:$G$271)*100*0.4)+(J95*0.35)+(K95*0.25),1)</f>
        <v/>
      </c>
      <c r="M95" s="63">
        <f>IF(L95&gt;=62,"1 - Do now",IF(L95&gt;=52,"2 - Next",IF(L95&gt;=44,"3 - Later","4 - Backlog")))</f>
        <v/>
      </c>
      <c r="N95" s="63" t="inlineStr">
        <is>
          <t>/products/horizontal-briquetting-machine</t>
        </is>
      </c>
    </row>
    <row r="96" ht="15" customHeight="1" s="54">
      <c r="A96" s="67" t="n">
        <v>92</v>
      </c>
      <c r="B96" s="67" t="inlineStr">
        <is>
          <t>copper chips briquetting machine</t>
        </is>
      </c>
      <c r="C96" s="67" t="inlineStr">
        <is>
          <t>Briquetting</t>
        </is>
      </c>
      <c r="D96" s="67" t="inlineStr">
        <is>
          <t>Briquetting</t>
        </is>
      </c>
      <c r="E96" s="67" t="inlineStr">
        <is>
          <t>Transactional</t>
        </is>
      </c>
      <c r="F96" s="67" t="inlineStr">
        <is>
          <t>India+Export</t>
        </is>
      </c>
      <c r="G96" s="68" t="n">
        <v>70</v>
      </c>
      <c r="H96" s="68" t="n">
        <v>210</v>
      </c>
      <c r="I96" s="68" t="n">
        <v>17</v>
      </c>
      <c r="J96" s="69">
        <f>100-I96</f>
        <v/>
      </c>
      <c r="K96" s="69" t="n">
        <v>100</v>
      </c>
      <c r="L96" s="70">
        <f>ROUND((G96/MAX($G$5:$G$271)*100*0.4)+(J96*0.35)+(K96*0.25),1)</f>
        <v/>
      </c>
      <c r="M96" s="67">
        <f>IF(L96&gt;=62,"1 - Do now",IF(L96&gt;=52,"2 - Next",IF(L96&gt;=44,"3 - Later","4 - Backlog")))</f>
        <v/>
      </c>
      <c r="N96" s="67" t="inlineStr">
        <is>
          <t>/products/briquetting</t>
        </is>
      </c>
    </row>
    <row r="97" ht="15" customHeight="1" s="54">
      <c r="A97" s="63" t="n">
        <v>93</v>
      </c>
      <c r="B97" s="63" t="inlineStr">
        <is>
          <t>steel turning briquetting machine</t>
        </is>
      </c>
      <c r="C97" s="63" t="inlineStr">
        <is>
          <t>Briquetting</t>
        </is>
      </c>
      <c r="D97" s="63" t="inlineStr">
        <is>
          <t>Briquetting</t>
        </is>
      </c>
      <c r="E97" s="63" t="inlineStr">
        <is>
          <t>Transactional</t>
        </is>
      </c>
      <c r="F97" s="63" t="inlineStr">
        <is>
          <t>India+Export</t>
        </is>
      </c>
      <c r="G97" s="64" t="n">
        <v>90</v>
      </c>
      <c r="H97" s="64" t="n">
        <v>320</v>
      </c>
      <c r="I97" s="64" t="n">
        <v>19</v>
      </c>
      <c r="J97" s="65">
        <f>100-I97</f>
        <v/>
      </c>
      <c r="K97" s="65" t="n">
        <v>100</v>
      </c>
      <c r="L97" s="66">
        <f>ROUND((G97/MAX($G$5:$G$271)*100*0.4)+(J97*0.35)+(K97*0.25),1)</f>
        <v/>
      </c>
      <c r="M97" s="63">
        <f>IF(L97&gt;=62,"1 - Do now",IF(L97&gt;=52,"2 - Next",IF(L97&gt;=44,"3 - Later","4 - Backlog")))</f>
        <v/>
      </c>
      <c r="N97" s="63" t="inlineStr">
        <is>
          <t>/products/briquetting</t>
        </is>
      </c>
    </row>
    <row r="98" ht="15" customHeight="1" s="54">
      <c r="A98" s="67" t="n">
        <v>94</v>
      </c>
      <c r="B98" s="67" t="inlineStr">
        <is>
          <t>chip compactor machine</t>
        </is>
      </c>
      <c r="C98" s="67" t="inlineStr">
        <is>
          <t>Briquetting</t>
        </is>
      </c>
      <c r="D98" s="67" t="inlineStr">
        <is>
          <t>Briquetting</t>
        </is>
      </c>
      <c r="E98" s="67" t="inlineStr">
        <is>
          <t>Transactional</t>
        </is>
      </c>
      <c r="F98" s="67" t="inlineStr">
        <is>
          <t>India+Export</t>
        </is>
      </c>
      <c r="G98" s="68" t="n">
        <v>110</v>
      </c>
      <c r="H98" s="68" t="n">
        <v>720</v>
      </c>
      <c r="I98" s="68" t="n">
        <v>25</v>
      </c>
      <c r="J98" s="69">
        <f>100-I98</f>
        <v/>
      </c>
      <c r="K98" s="69" t="n">
        <v>100</v>
      </c>
      <c r="L98" s="70">
        <f>ROUND((G98/MAX($G$5:$G$271)*100*0.4)+(J98*0.35)+(K98*0.25),1)</f>
        <v/>
      </c>
      <c r="M98" s="67">
        <f>IF(L98&gt;=62,"1 - Do now",IF(L98&gt;=52,"2 - Next",IF(L98&gt;=44,"3 - Later","4 - Backlog")))</f>
        <v/>
      </c>
      <c r="N98" s="67" t="inlineStr">
        <is>
          <t>/products/briquetting</t>
        </is>
      </c>
    </row>
    <row r="99" ht="15" customHeight="1" s="54">
      <c r="A99" s="63" t="n">
        <v>95</v>
      </c>
      <c r="B99" s="63" t="inlineStr">
        <is>
          <t>coolant recovery briquetting</t>
        </is>
      </c>
      <c r="C99" s="63" t="inlineStr">
        <is>
          <t>Briquetting</t>
        </is>
      </c>
      <c r="D99" s="63" t="inlineStr">
        <is>
          <t>Briquetting</t>
        </is>
      </c>
      <c r="E99" s="63" t="inlineStr">
        <is>
          <t>Commercial</t>
        </is>
      </c>
      <c r="F99" s="63" t="inlineStr">
        <is>
          <t>India+Export</t>
        </is>
      </c>
      <c r="G99" s="64" t="n">
        <v>50</v>
      </c>
      <c r="H99" s="64" t="n">
        <v>390</v>
      </c>
      <c r="I99" s="64" t="n">
        <v>15</v>
      </c>
      <c r="J99" s="65">
        <f>100-I99</f>
        <v/>
      </c>
      <c r="K99" s="65" t="n">
        <v>75</v>
      </c>
      <c r="L99" s="66">
        <f>ROUND((G99/MAX($G$5:$G$271)*100*0.4)+(J99*0.35)+(K99*0.25),1)</f>
        <v/>
      </c>
      <c r="M99" s="63">
        <f>IF(L99&gt;=62,"1 - Do now",IF(L99&gt;=52,"2 - Next",IF(L99&gt;=44,"3 - Later","4 - Backlog")))</f>
        <v/>
      </c>
      <c r="N99" s="63" t="inlineStr">
        <is>
          <t>/blog/coolant-recovery</t>
        </is>
      </c>
    </row>
    <row r="100" ht="15" customHeight="1" s="54">
      <c r="A100" s="67" t="n">
        <v>96</v>
      </c>
      <c r="B100" s="67" t="inlineStr">
        <is>
          <t>rvsf machinery</t>
        </is>
      </c>
      <c r="C100" s="67" t="inlineStr">
        <is>
          <t>ELV / RVSF</t>
        </is>
      </c>
      <c r="D100" s="67" t="inlineStr">
        <is>
          <t>RVSF</t>
        </is>
      </c>
      <c r="E100" s="67" t="inlineStr">
        <is>
          <t>Transactional</t>
        </is>
      </c>
      <c r="F100" s="67" t="inlineStr">
        <is>
          <t>India</t>
        </is>
      </c>
      <c r="G100" s="68" t="n">
        <v>320</v>
      </c>
      <c r="H100" s="68" t="n">
        <v>390</v>
      </c>
      <c r="I100" s="68" t="n">
        <v>19</v>
      </c>
      <c r="J100" s="69">
        <f>100-I100</f>
        <v/>
      </c>
      <c r="K100" s="69" t="n">
        <v>100</v>
      </c>
      <c r="L100" s="70">
        <f>ROUND((G100/MAX($G$5:$G$271)*100*0.4)+(J100*0.35)+(K100*0.25),1)</f>
        <v/>
      </c>
      <c r="M100" s="67">
        <f>IF(L100&gt;=62,"1 - Do now",IF(L100&gt;=52,"2 - Next",IF(L100&gt;=44,"3 - Later","4 - Backlog")))</f>
        <v/>
      </c>
      <c r="N100" s="67" t="inlineStr">
        <is>
          <t>/solutions/rvsf-turnkey</t>
        </is>
      </c>
    </row>
    <row r="101" ht="15" customHeight="1" s="54">
      <c r="A101" s="63" t="n">
        <v>97</v>
      </c>
      <c r="B101" s="63" t="inlineStr">
        <is>
          <t>rvsf setup cost</t>
        </is>
      </c>
      <c r="C101" s="63" t="inlineStr">
        <is>
          <t>ELV / RVSF</t>
        </is>
      </c>
      <c r="D101" s="63" t="inlineStr">
        <is>
          <t>RVSF</t>
        </is>
      </c>
      <c r="E101" s="63" t="inlineStr">
        <is>
          <t>Commercial</t>
        </is>
      </c>
      <c r="F101" s="63" t="inlineStr">
        <is>
          <t>India</t>
        </is>
      </c>
      <c r="G101" s="64" t="n">
        <v>480</v>
      </c>
      <c r="H101" s="64" t="n">
        <v>590</v>
      </c>
      <c r="I101" s="64" t="n">
        <v>24</v>
      </c>
      <c r="J101" s="65">
        <f>100-I101</f>
        <v/>
      </c>
      <c r="K101" s="65" t="n">
        <v>75</v>
      </c>
      <c r="L101" s="66">
        <f>ROUND((G101/MAX($G$5:$G$271)*100*0.4)+(J101*0.35)+(K101*0.25),1)</f>
        <v/>
      </c>
      <c r="M101" s="63">
        <f>IF(L101&gt;=62,"1 - Do now",IF(L101&gt;=52,"2 - Next",IF(L101&gt;=44,"3 - Later","4 - Backlog")))</f>
        <v/>
      </c>
      <c r="N101" s="63" t="inlineStr">
        <is>
          <t>/solutions/rvsf-turnkey</t>
        </is>
      </c>
    </row>
    <row r="102" ht="15" customHeight="1" s="54">
      <c r="A102" s="67" t="n">
        <v>98</v>
      </c>
      <c r="B102" s="67" t="inlineStr">
        <is>
          <t>registered vehicle scrapping facility setup cost</t>
        </is>
      </c>
      <c r="C102" s="67" t="inlineStr">
        <is>
          <t>ELV / RVSF</t>
        </is>
      </c>
      <c r="D102" s="67" t="inlineStr">
        <is>
          <t>RVSF</t>
        </is>
      </c>
      <c r="E102" s="67" t="inlineStr">
        <is>
          <t>Commercial</t>
        </is>
      </c>
      <c r="F102" s="67" t="inlineStr">
        <is>
          <t>India</t>
        </is>
      </c>
      <c r="G102" s="68" t="n">
        <v>720</v>
      </c>
      <c r="H102" s="68" t="n">
        <v>880</v>
      </c>
      <c r="I102" s="68" t="n">
        <v>27</v>
      </c>
      <c r="J102" s="69">
        <f>100-I102</f>
        <v/>
      </c>
      <c r="K102" s="69" t="n">
        <v>75</v>
      </c>
      <c r="L102" s="70">
        <f>ROUND((G102/MAX($G$5:$G$271)*100*0.4)+(J102*0.35)+(K102*0.25),1)</f>
        <v/>
      </c>
      <c r="M102" s="67">
        <f>IF(L102&gt;=62,"1 - Do now",IF(L102&gt;=52,"2 - Next",IF(L102&gt;=44,"3 - Later","4 - Backlog")))</f>
        <v/>
      </c>
      <c r="N102" s="67" t="inlineStr">
        <is>
          <t>/solutions/rvsf-turnkey</t>
        </is>
      </c>
    </row>
    <row r="103" ht="15" customHeight="1" s="54">
      <c r="A103" s="63" t="n">
        <v>99</v>
      </c>
      <c r="B103" s="63" t="inlineStr">
        <is>
          <t>how to start a vehicle scrapping business in india</t>
        </is>
      </c>
      <c r="C103" s="63" t="inlineStr">
        <is>
          <t>ELV / RVSF</t>
        </is>
      </c>
      <c r="D103" s="63" t="inlineStr">
        <is>
          <t>RVSF</t>
        </is>
      </c>
      <c r="E103" s="63" t="inlineStr">
        <is>
          <t>Commercial</t>
        </is>
      </c>
      <c r="F103" s="63" t="inlineStr">
        <is>
          <t>India</t>
        </is>
      </c>
      <c r="G103" s="64" t="n">
        <v>1000</v>
      </c>
      <c r="H103" s="64" t="n">
        <v>1200</v>
      </c>
      <c r="I103" s="64" t="n">
        <v>30</v>
      </c>
      <c r="J103" s="65">
        <f>100-I103</f>
        <v/>
      </c>
      <c r="K103" s="65" t="n">
        <v>75</v>
      </c>
      <c r="L103" s="66">
        <f>ROUND((G103/MAX($G$5:$G$271)*100*0.4)+(J103*0.35)+(K103*0.25),1)</f>
        <v/>
      </c>
      <c r="M103" s="63">
        <f>IF(L103&gt;=62,"1 - Do now",IF(L103&gt;=52,"2 - Next",IF(L103&gt;=44,"3 - Later","4 - Backlog")))</f>
        <v/>
      </c>
      <c r="N103" s="63" t="inlineStr">
        <is>
          <t>/blog/start-rvsf-india</t>
        </is>
      </c>
    </row>
    <row r="104" ht="15" customHeight="1" s="54">
      <c r="A104" s="67" t="n">
        <v>100</v>
      </c>
      <c r="B104" s="67" t="inlineStr">
        <is>
          <t>rvsf license requirements india</t>
        </is>
      </c>
      <c r="C104" s="67" t="inlineStr">
        <is>
          <t>ELV / RVSF</t>
        </is>
      </c>
      <c r="D104" s="67" t="inlineStr">
        <is>
          <t>RVSF</t>
        </is>
      </c>
      <c r="E104" s="67" t="inlineStr">
        <is>
          <t>Informational</t>
        </is>
      </c>
      <c r="F104" s="67" t="inlineStr">
        <is>
          <t>India</t>
        </is>
      </c>
      <c r="G104" s="68" t="n">
        <v>590</v>
      </c>
      <c r="H104" s="68" t="n">
        <v>720</v>
      </c>
      <c r="I104" s="68" t="n">
        <v>25</v>
      </c>
      <c r="J104" s="69">
        <f>100-I104</f>
        <v/>
      </c>
      <c r="K104" s="69" t="n">
        <v>40</v>
      </c>
      <c r="L104" s="70">
        <f>ROUND((G104/MAX($G$5:$G$271)*100*0.4)+(J104*0.35)+(K104*0.25),1)</f>
        <v/>
      </c>
      <c r="M104" s="67">
        <f>IF(L104&gt;=62,"1 - Do now",IF(L104&gt;=52,"2 - Next",IF(L104&gt;=44,"3 - Later","4 - Backlog")))</f>
        <v/>
      </c>
      <c r="N104" s="67" t="inlineStr">
        <is>
          <t>/blog/rvsf-licence-guide</t>
        </is>
      </c>
    </row>
    <row r="105" ht="15" customHeight="1" s="54">
      <c r="A105" s="63" t="n">
        <v>101</v>
      </c>
      <c r="B105" s="63" t="inlineStr">
        <is>
          <t>rvsf registration process</t>
        </is>
      </c>
      <c r="C105" s="63" t="inlineStr">
        <is>
          <t>ELV / RVSF</t>
        </is>
      </c>
      <c r="D105" s="63" t="inlineStr">
        <is>
          <t>RVSF</t>
        </is>
      </c>
      <c r="E105" s="63" t="inlineStr">
        <is>
          <t>Informational</t>
        </is>
      </c>
      <c r="F105" s="63" t="inlineStr">
        <is>
          <t>India</t>
        </is>
      </c>
      <c r="G105" s="64" t="n">
        <v>480</v>
      </c>
      <c r="H105" s="64" t="n">
        <v>590</v>
      </c>
      <c r="I105" s="64" t="n">
        <v>23</v>
      </c>
      <c r="J105" s="65">
        <f>100-I105</f>
        <v/>
      </c>
      <c r="K105" s="65" t="n">
        <v>40</v>
      </c>
      <c r="L105" s="66">
        <f>ROUND((G105/MAX($G$5:$G$271)*100*0.4)+(J105*0.35)+(K105*0.25),1)</f>
        <v/>
      </c>
      <c r="M105" s="63">
        <f>IF(L105&gt;=62,"1 - Do now",IF(L105&gt;=52,"2 - Next",IF(L105&gt;=44,"3 - Later","4 - Backlog")))</f>
        <v/>
      </c>
      <c r="N105" s="63" t="inlineStr">
        <is>
          <t>/blog/rvsf-licence-guide</t>
        </is>
      </c>
    </row>
    <row r="106" ht="15" customHeight="1" s="54">
      <c r="A106" s="67" t="n">
        <v>102</v>
      </c>
      <c r="B106" s="67" t="inlineStr">
        <is>
          <t>vehicle scrapping policy india 2026</t>
        </is>
      </c>
      <c r="C106" s="67" t="inlineStr">
        <is>
          <t>ELV / RVSF</t>
        </is>
      </c>
      <c r="D106" s="67" t="inlineStr">
        <is>
          <t>RVSF</t>
        </is>
      </c>
      <c r="E106" s="67" t="inlineStr">
        <is>
          <t>Informational</t>
        </is>
      </c>
      <c r="F106" s="67" t="inlineStr">
        <is>
          <t>India</t>
        </is>
      </c>
      <c r="G106" s="68" t="n">
        <v>2400</v>
      </c>
      <c r="H106" s="68" t="n">
        <v>2900</v>
      </c>
      <c r="I106" s="68" t="n">
        <v>44</v>
      </c>
      <c r="J106" s="69">
        <f>100-I106</f>
        <v/>
      </c>
      <c r="K106" s="69" t="n">
        <v>40</v>
      </c>
      <c r="L106" s="70">
        <f>ROUND((G106/MAX($G$5:$G$271)*100*0.4)+(J106*0.35)+(K106*0.25),1)</f>
        <v/>
      </c>
      <c r="M106" s="67">
        <f>IF(L106&gt;=62,"1 - Do now",IF(L106&gt;=52,"2 - Next",IF(L106&gt;=44,"3 - Later","4 - Backlog")))</f>
        <v/>
      </c>
      <c r="N106" s="67" t="inlineStr">
        <is>
          <t>/blog/vehicle-scrappage-policy</t>
        </is>
      </c>
    </row>
    <row r="107" ht="15" customHeight="1" s="54">
      <c r="A107" s="63" t="n">
        <v>103</v>
      </c>
      <c r="B107" s="63" t="inlineStr">
        <is>
          <t>vehicle scrappage policy incentives</t>
        </is>
      </c>
      <c r="C107" s="63" t="inlineStr">
        <is>
          <t>ELV / RVSF</t>
        </is>
      </c>
      <c r="D107" s="63" t="inlineStr">
        <is>
          <t>RVSF</t>
        </is>
      </c>
      <c r="E107" s="63" t="inlineStr">
        <is>
          <t>Informational</t>
        </is>
      </c>
      <c r="F107" s="63" t="inlineStr">
        <is>
          <t>India</t>
        </is>
      </c>
      <c r="G107" s="64" t="n">
        <v>1300</v>
      </c>
      <c r="H107" s="64" t="n">
        <v>1600</v>
      </c>
      <c r="I107" s="64" t="n">
        <v>38</v>
      </c>
      <c r="J107" s="65">
        <f>100-I107</f>
        <v/>
      </c>
      <c r="K107" s="65" t="n">
        <v>40</v>
      </c>
      <c r="L107" s="66">
        <f>ROUND((G107/MAX($G$5:$G$271)*100*0.4)+(J107*0.35)+(K107*0.25),1)</f>
        <v/>
      </c>
      <c r="M107" s="63">
        <f>IF(L107&gt;=62,"1 - Do now",IF(L107&gt;=52,"2 - Next",IF(L107&gt;=44,"3 - Later","4 - Backlog")))</f>
        <v/>
      </c>
      <c r="N107" s="63" t="inlineStr">
        <is>
          <t>/blog/vehicle-scrappage-policy</t>
        </is>
      </c>
    </row>
    <row r="108" ht="15" customHeight="1" s="54">
      <c r="A108" s="67" t="n">
        <v>104</v>
      </c>
      <c r="B108" s="67" t="inlineStr">
        <is>
          <t>certificate of deposit vehicle scrapping</t>
        </is>
      </c>
      <c r="C108" s="67" t="inlineStr">
        <is>
          <t>ELV / RVSF</t>
        </is>
      </c>
      <c r="D108" s="67" t="inlineStr">
        <is>
          <t>RVSF</t>
        </is>
      </c>
      <c r="E108" s="67" t="inlineStr">
        <is>
          <t>Informational</t>
        </is>
      </c>
      <c r="F108" s="67" t="inlineStr">
        <is>
          <t>India</t>
        </is>
      </c>
      <c r="G108" s="68" t="n">
        <v>590</v>
      </c>
      <c r="H108" s="68" t="n">
        <v>720</v>
      </c>
      <c r="I108" s="68" t="n">
        <v>26</v>
      </c>
      <c r="J108" s="69">
        <f>100-I108</f>
        <v/>
      </c>
      <c r="K108" s="69" t="n">
        <v>40</v>
      </c>
      <c r="L108" s="70">
        <f>ROUND((G108/MAX($G$5:$G$271)*100*0.4)+(J108*0.35)+(K108*0.25),1)</f>
        <v/>
      </c>
      <c r="M108" s="67">
        <f>IF(L108&gt;=62,"1 - Do now",IF(L108&gt;=52,"2 - Next",IF(L108&gt;=44,"3 - Later","4 - Backlog")))</f>
        <v/>
      </c>
      <c r="N108" s="67" t="inlineStr">
        <is>
          <t>/blog/vehicle-scrappage-policy</t>
        </is>
      </c>
    </row>
    <row r="109" ht="15" customHeight="1" s="54">
      <c r="A109" s="63" t="n">
        <v>105</v>
      </c>
      <c r="B109" s="63" t="inlineStr">
        <is>
          <t>end of life vehicle recycling equipment</t>
        </is>
      </c>
      <c r="C109" s="63" t="inlineStr">
        <is>
          <t>ELV / RVSF</t>
        </is>
      </c>
      <c r="D109" s="63" t="inlineStr">
        <is>
          <t>RVSF</t>
        </is>
      </c>
      <c r="E109" s="63" t="inlineStr">
        <is>
          <t>Commercial</t>
        </is>
      </c>
      <c r="F109" s="63" t="inlineStr">
        <is>
          <t>India+Export</t>
        </is>
      </c>
      <c r="G109" s="64" t="n">
        <v>210</v>
      </c>
      <c r="H109" s="64" t="n">
        <v>1300</v>
      </c>
      <c r="I109" s="64" t="n">
        <v>32</v>
      </c>
      <c r="J109" s="65">
        <f>100-I109</f>
        <v/>
      </c>
      <c r="K109" s="65" t="n">
        <v>75</v>
      </c>
      <c r="L109" s="66">
        <f>ROUND((G109/MAX($G$5:$G$271)*100*0.4)+(J109*0.35)+(K109*0.25),1)</f>
        <v/>
      </c>
      <c r="M109" s="63">
        <f>IF(L109&gt;=62,"1 - Do now",IF(L109&gt;=52,"2 - Next",IF(L109&gt;=44,"3 - Later","4 - Backlog")))</f>
        <v/>
      </c>
      <c r="N109" s="63" t="inlineStr">
        <is>
          <t>/solutions/rvsf-turnkey</t>
        </is>
      </c>
    </row>
    <row r="110" ht="15" customHeight="1" s="54">
      <c r="A110" s="67" t="n">
        <v>106</v>
      </c>
      <c r="B110" s="67" t="inlineStr">
        <is>
          <t>elv dismantling equipment</t>
        </is>
      </c>
      <c r="C110" s="67" t="inlineStr">
        <is>
          <t>ELV / RVSF</t>
        </is>
      </c>
      <c r="D110" s="67" t="inlineStr">
        <is>
          <t>RVSF</t>
        </is>
      </c>
      <c r="E110" s="67" t="inlineStr">
        <is>
          <t>Commercial</t>
        </is>
      </c>
      <c r="F110" s="67" t="inlineStr">
        <is>
          <t>India+Export</t>
        </is>
      </c>
      <c r="G110" s="68" t="n">
        <v>140</v>
      </c>
      <c r="H110" s="68" t="n">
        <v>880</v>
      </c>
      <c r="I110" s="68" t="n">
        <v>28</v>
      </c>
      <c r="J110" s="69">
        <f>100-I110</f>
        <v/>
      </c>
      <c r="K110" s="69" t="n">
        <v>75</v>
      </c>
      <c r="L110" s="70">
        <f>ROUND((G110/MAX($G$5:$G$271)*100*0.4)+(J110*0.35)+(K110*0.25),1)</f>
        <v/>
      </c>
      <c r="M110" s="67">
        <f>IF(L110&gt;=62,"1 - Do now",IF(L110&gt;=52,"2 - Next",IF(L110&gt;=44,"3 - Later","4 - Backlog")))</f>
        <v/>
      </c>
      <c r="N110" s="67" t="inlineStr">
        <is>
          <t>/solutions/rvsf-turnkey</t>
        </is>
      </c>
    </row>
    <row r="111" ht="15" customHeight="1" s="54">
      <c r="A111" s="63" t="n">
        <v>107</v>
      </c>
      <c r="B111" s="63" t="inlineStr">
        <is>
          <t>turnkey elv plant setup india</t>
        </is>
      </c>
      <c r="C111" s="63" t="inlineStr">
        <is>
          <t>ELV / RVSF</t>
        </is>
      </c>
      <c r="D111" s="63" t="inlineStr">
        <is>
          <t>RVSF</t>
        </is>
      </c>
      <c r="E111" s="63" t="inlineStr">
        <is>
          <t>Commercial</t>
        </is>
      </c>
      <c r="F111" s="63" t="inlineStr">
        <is>
          <t>India</t>
        </is>
      </c>
      <c r="G111" s="64" t="n">
        <v>110</v>
      </c>
      <c r="H111" s="64" t="n">
        <v>170</v>
      </c>
      <c r="I111" s="64" t="n">
        <v>16</v>
      </c>
      <c r="J111" s="65">
        <f>100-I111</f>
        <v/>
      </c>
      <c r="K111" s="65" t="n">
        <v>75</v>
      </c>
      <c r="L111" s="66">
        <f>ROUND((G111/MAX($G$5:$G$271)*100*0.4)+(J111*0.35)+(K111*0.25),1)</f>
        <v/>
      </c>
      <c r="M111" s="63">
        <f>IF(L111&gt;=62,"1 - Do now",IF(L111&gt;=52,"2 - Next",IF(L111&gt;=44,"3 - Later","4 - Backlog")))</f>
        <v/>
      </c>
      <c r="N111" s="63" t="inlineStr">
        <is>
          <t>/solutions/rvsf-turnkey</t>
        </is>
      </c>
    </row>
    <row r="112" ht="15" customHeight="1" s="54">
      <c r="A112" s="67" t="n">
        <v>108</v>
      </c>
      <c r="B112" s="67" t="inlineStr">
        <is>
          <t>vehicle scrapping yard machinery list</t>
        </is>
      </c>
      <c r="C112" s="67" t="inlineStr">
        <is>
          <t>ELV / RVSF</t>
        </is>
      </c>
      <c r="D112" s="67" t="inlineStr">
        <is>
          <t>RVSF</t>
        </is>
      </c>
      <c r="E112" s="67" t="inlineStr">
        <is>
          <t>Commercial</t>
        </is>
      </c>
      <c r="F112" s="67" t="inlineStr">
        <is>
          <t>India</t>
        </is>
      </c>
      <c r="G112" s="68" t="n">
        <v>170</v>
      </c>
      <c r="H112" s="68" t="n">
        <v>210</v>
      </c>
      <c r="I112" s="68" t="n">
        <v>17</v>
      </c>
      <c r="J112" s="69">
        <f>100-I112</f>
        <v/>
      </c>
      <c r="K112" s="69" t="n">
        <v>75</v>
      </c>
      <c r="L112" s="70">
        <f>ROUND((G112/MAX($G$5:$G$271)*100*0.4)+(J112*0.35)+(K112*0.25),1)</f>
        <v/>
      </c>
      <c r="M112" s="67">
        <f>IF(L112&gt;=62,"1 - Do now",IF(L112&gt;=52,"2 - Next",IF(L112&gt;=44,"3 - Later","4 - Backlog")))</f>
        <v/>
      </c>
      <c r="N112" s="67" t="inlineStr">
        <is>
          <t>/blog/rvsf-machinery-checklist</t>
        </is>
      </c>
    </row>
    <row r="113" ht="15" customHeight="1" s="54">
      <c r="A113" s="63" t="n">
        <v>109</v>
      </c>
      <c r="B113" s="63" t="inlineStr">
        <is>
          <t>depollution equipment for elv</t>
        </is>
      </c>
      <c r="C113" s="63" t="inlineStr">
        <is>
          <t>ELV / RVSF</t>
        </is>
      </c>
      <c r="D113" s="63" t="inlineStr">
        <is>
          <t>RVSF</t>
        </is>
      </c>
      <c r="E113" s="63" t="inlineStr">
        <is>
          <t>Commercial</t>
        </is>
      </c>
      <c r="F113" s="63" t="inlineStr">
        <is>
          <t>India+Export</t>
        </is>
      </c>
      <c r="G113" s="64" t="n">
        <v>90</v>
      </c>
      <c r="H113" s="64" t="n">
        <v>480</v>
      </c>
      <c r="I113" s="64" t="n">
        <v>22</v>
      </c>
      <c r="J113" s="65">
        <f>100-I113</f>
        <v/>
      </c>
      <c r="K113" s="65" t="n">
        <v>75</v>
      </c>
      <c r="L113" s="66">
        <f>ROUND((G113/MAX($G$5:$G$271)*100*0.4)+(J113*0.35)+(K113*0.25),1)</f>
        <v/>
      </c>
      <c r="M113" s="63">
        <f>IF(L113&gt;=62,"1 - Do now",IF(L113&gt;=52,"2 - Next",IF(L113&gt;=44,"3 - Later","4 - Backlog")))</f>
        <v/>
      </c>
      <c r="N113" s="63" t="inlineStr">
        <is>
          <t>/solutions/rvsf-turnkey</t>
        </is>
      </c>
    </row>
    <row r="114" ht="15" customHeight="1" s="54">
      <c r="A114" s="67" t="n">
        <v>110</v>
      </c>
      <c r="B114" s="67" t="inlineStr">
        <is>
          <t>rvsf plant layout design</t>
        </is>
      </c>
      <c r="C114" s="67" t="inlineStr">
        <is>
          <t>ELV / RVSF</t>
        </is>
      </c>
      <c r="D114" s="67" t="inlineStr">
        <is>
          <t>RVSF</t>
        </is>
      </c>
      <c r="E114" s="67" t="inlineStr">
        <is>
          <t>Commercial</t>
        </is>
      </c>
      <c r="F114" s="67" t="inlineStr">
        <is>
          <t>India</t>
        </is>
      </c>
      <c r="G114" s="68" t="n">
        <v>140</v>
      </c>
      <c r="H114" s="68" t="n">
        <v>170</v>
      </c>
      <c r="I114" s="68" t="n">
        <v>15</v>
      </c>
      <c r="J114" s="69">
        <f>100-I114</f>
        <v/>
      </c>
      <c r="K114" s="69" t="n">
        <v>75</v>
      </c>
      <c r="L114" s="70">
        <f>ROUND((G114/MAX($G$5:$G$271)*100*0.4)+(J114*0.35)+(K114*0.25),1)</f>
        <v/>
      </c>
      <c r="M114" s="67">
        <f>IF(L114&gt;=62,"1 - Do now",IF(L114&gt;=52,"2 - Next",IF(L114&gt;=44,"3 - Later","4 - Backlog")))</f>
        <v/>
      </c>
      <c r="N114" s="67" t="inlineStr">
        <is>
          <t>/solutions/rvsf-turnkey</t>
        </is>
      </c>
    </row>
    <row r="115" ht="15" customHeight="1" s="54">
      <c r="A115" s="63" t="n">
        <v>111</v>
      </c>
      <c r="B115" s="63" t="inlineStr">
        <is>
          <t>scrapping facility profit margin india</t>
        </is>
      </c>
      <c r="C115" s="63" t="inlineStr">
        <is>
          <t>ELV / RVSF</t>
        </is>
      </c>
      <c r="D115" s="63" t="inlineStr">
        <is>
          <t>RVSF</t>
        </is>
      </c>
      <c r="E115" s="63" t="inlineStr">
        <is>
          <t>Commercial</t>
        </is>
      </c>
      <c r="F115" s="63" t="inlineStr">
        <is>
          <t>India</t>
        </is>
      </c>
      <c r="G115" s="64" t="n">
        <v>260</v>
      </c>
      <c r="H115" s="64" t="n">
        <v>320</v>
      </c>
      <c r="I115" s="64" t="n">
        <v>21</v>
      </c>
      <c r="J115" s="65">
        <f>100-I115</f>
        <v/>
      </c>
      <c r="K115" s="65" t="n">
        <v>75</v>
      </c>
      <c r="L115" s="66">
        <f>ROUND((G115/MAX($G$5:$G$271)*100*0.4)+(J115*0.35)+(K115*0.25),1)</f>
        <v/>
      </c>
      <c r="M115" s="63">
        <f>IF(L115&gt;=62,"1 - Do now",IF(L115&gt;=52,"2 - Next",IF(L115&gt;=44,"3 - Later","4 - Backlog")))</f>
        <v/>
      </c>
      <c r="N115" s="63" t="inlineStr">
        <is>
          <t>/blog/start-rvsf-india</t>
        </is>
      </c>
    </row>
    <row r="116" ht="15" customHeight="1" s="54">
      <c r="A116" s="67" t="n">
        <v>112</v>
      </c>
      <c r="B116" s="67" t="inlineStr">
        <is>
          <t>msw sorting line manufacturer</t>
        </is>
      </c>
      <c r="C116" s="67" t="inlineStr">
        <is>
          <t>Material Handling</t>
        </is>
      </c>
      <c r="D116" s="67" t="inlineStr">
        <is>
          <t>Sorting</t>
        </is>
      </c>
      <c r="E116" s="67" t="inlineStr">
        <is>
          <t>Transactional</t>
        </is>
      </c>
      <c r="F116" s="67" t="inlineStr">
        <is>
          <t>India+Export</t>
        </is>
      </c>
      <c r="G116" s="68" t="n">
        <v>140</v>
      </c>
      <c r="H116" s="68" t="n">
        <v>590</v>
      </c>
      <c r="I116" s="68" t="n">
        <v>26</v>
      </c>
      <c r="J116" s="69">
        <f>100-I116</f>
        <v/>
      </c>
      <c r="K116" s="69" t="n">
        <v>100</v>
      </c>
      <c r="L116" s="70">
        <f>ROUND((G116/MAX($G$5:$G$271)*100*0.4)+(J116*0.35)+(K116*0.25),1)</f>
        <v/>
      </c>
      <c r="M116" s="67">
        <f>IF(L116&gt;=62,"1 - Do now",IF(L116&gt;=52,"2 - Next",IF(L116&gt;=44,"3 - Later","4 - Backlog")))</f>
        <v/>
      </c>
      <c r="N116" s="67" t="inlineStr">
        <is>
          <t>/products/msw-sorting-line</t>
        </is>
      </c>
    </row>
    <row r="117" ht="15" customHeight="1" s="54">
      <c r="A117" s="63" t="n">
        <v>113</v>
      </c>
      <c r="B117" s="63" t="inlineStr">
        <is>
          <t>waste segregation plant machinery india</t>
        </is>
      </c>
      <c r="C117" s="63" t="inlineStr">
        <is>
          <t>Material Handling</t>
        </is>
      </c>
      <c r="D117" s="63" t="inlineStr">
        <is>
          <t>Sorting</t>
        </is>
      </c>
      <c r="E117" s="63" t="inlineStr">
        <is>
          <t>Commercial</t>
        </is>
      </c>
      <c r="F117" s="63" t="inlineStr">
        <is>
          <t>India</t>
        </is>
      </c>
      <c r="G117" s="64" t="n">
        <v>260</v>
      </c>
      <c r="H117" s="64" t="n">
        <v>320</v>
      </c>
      <c r="I117" s="64" t="n">
        <v>29</v>
      </c>
      <c r="J117" s="65">
        <f>100-I117</f>
        <v/>
      </c>
      <c r="K117" s="65" t="n">
        <v>75</v>
      </c>
      <c r="L117" s="66">
        <f>ROUND((G117/MAX($G$5:$G$271)*100*0.4)+(J117*0.35)+(K117*0.25),1)</f>
        <v/>
      </c>
      <c r="M117" s="63">
        <f>IF(L117&gt;=62,"1 - Do now",IF(L117&gt;=52,"2 - Next",IF(L117&gt;=44,"3 - Later","4 - Backlog")))</f>
        <v/>
      </c>
      <c r="N117" s="63" t="inlineStr">
        <is>
          <t>/products/msw-sorting-line</t>
        </is>
      </c>
    </row>
    <row r="118" ht="15" customHeight="1" s="54">
      <c r="A118" s="67" t="n">
        <v>114</v>
      </c>
      <c r="B118" s="67" t="inlineStr">
        <is>
          <t>garbage sorting machine price</t>
        </is>
      </c>
      <c r="C118" s="67" t="inlineStr">
        <is>
          <t>Material Handling</t>
        </is>
      </c>
      <c r="D118" s="67" t="inlineStr">
        <is>
          <t>Sorting</t>
        </is>
      </c>
      <c r="E118" s="67" t="inlineStr">
        <is>
          <t>Transactional</t>
        </is>
      </c>
      <c r="F118" s="67" t="inlineStr">
        <is>
          <t>India+Export</t>
        </is>
      </c>
      <c r="G118" s="68" t="n">
        <v>210</v>
      </c>
      <c r="H118" s="68" t="n">
        <v>880</v>
      </c>
      <c r="I118" s="68" t="n">
        <v>28</v>
      </c>
      <c r="J118" s="69">
        <f>100-I118</f>
        <v/>
      </c>
      <c r="K118" s="69" t="n">
        <v>100</v>
      </c>
      <c r="L118" s="70">
        <f>ROUND((G118/MAX($G$5:$G$271)*100*0.4)+(J118*0.35)+(K118*0.25),1)</f>
        <v/>
      </c>
      <c r="M118" s="67">
        <f>IF(L118&gt;=62,"1 - Do now",IF(L118&gt;=52,"2 - Next",IF(L118&gt;=44,"3 - Later","4 - Backlog")))</f>
        <v/>
      </c>
      <c r="N118" s="67" t="inlineStr">
        <is>
          <t>/products/msw-sorting-line</t>
        </is>
      </c>
    </row>
    <row r="119" ht="15" customHeight="1" s="54">
      <c r="A119" s="63" t="n">
        <v>115</v>
      </c>
      <c r="B119" s="63" t="inlineStr">
        <is>
          <t>trommel screen for waste</t>
        </is>
      </c>
      <c r="C119" s="63" t="inlineStr">
        <is>
          <t>Material Handling</t>
        </is>
      </c>
      <c r="D119" s="63" t="inlineStr">
        <is>
          <t>Sorting</t>
        </is>
      </c>
      <c r="E119" s="63" t="inlineStr">
        <is>
          <t>Transactional</t>
        </is>
      </c>
      <c r="F119" s="63" t="inlineStr">
        <is>
          <t>India+Export</t>
        </is>
      </c>
      <c r="G119" s="64" t="n">
        <v>260</v>
      </c>
      <c r="H119" s="64" t="n">
        <v>1900</v>
      </c>
      <c r="I119" s="64" t="n">
        <v>32</v>
      </c>
      <c r="J119" s="65">
        <f>100-I119</f>
        <v/>
      </c>
      <c r="K119" s="65" t="n">
        <v>100</v>
      </c>
      <c r="L119" s="66">
        <f>ROUND((G119/MAX($G$5:$G$271)*100*0.4)+(J119*0.35)+(K119*0.25),1)</f>
        <v/>
      </c>
      <c r="M119" s="63">
        <f>IF(L119&gt;=62,"1 - Do now",IF(L119&gt;=52,"2 - Next",IF(L119&gt;=44,"3 - Later","4 - Backlog")))</f>
        <v/>
      </c>
      <c r="N119" s="63" t="inlineStr">
        <is>
          <t>/products/msw-sorting-line</t>
        </is>
      </c>
    </row>
    <row r="120" ht="15" customHeight="1" s="54">
      <c r="A120" s="67" t="n">
        <v>116</v>
      </c>
      <c r="B120" s="67" t="inlineStr">
        <is>
          <t>eddy current separator price</t>
        </is>
      </c>
      <c r="C120" s="67" t="inlineStr">
        <is>
          <t>Material Handling</t>
        </is>
      </c>
      <c r="D120" s="67" t="inlineStr">
        <is>
          <t>Sorting</t>
        </is>
      </c>
      <c r="E120" s="67" t="inlineStr">
        <is>
          <t>Transactional</t>
        </is>
      </c>
      <c r="F120" s="67" t="inlineStr">
        <is>
          <t>India+Export</t>
        </is>
      </c>
      <c r="G120" s="68" t="n">
        <v>320</v>
      </c>
      <c r="H120" s="68" t="n">
        <v>1600</v>
      </c>
      <c r="I120" s="68" t="n">
        <v>34</v>
      </c>
      <c r="J120" s="69">
        <f>100-I120</f>
        <v/>
      </c>
      <c r="K120" s="69" t="n">
        <v>100</v>
      </c>
      <c r="L120" s="70">
        <f>ROUND((G120/MAX($G$5:$G$271)*100*0.4)+(J120*0.35)+(K120*0.25),1)</f>
        <v/>
      </c>
      <c r="M120" s="67">
        <f>IF(L120&gt;=62,"1 - Do now",IF(L120&gt;=52,"2 - Next",IF(L120&gt;=44,"3 - Later","4 - Backlog")))</f>
        <v/>
      </c>
      <c r="N120" s="67" t="inlineStr">
        <is>
          <t>/products/msw-sorting-line</t>
        </is>
      </c>
    </row>
    <row r="121" ht="15" customHeight="1" s="54">
      <c r="A121" s="63" t="n">
        <v>117</v>
      </c>
      <c r="B121" s="63" t="inlineStr">
        <is>
          <t>magnetic separator for scrap</t>
        </is>
      </c>
      <c r="C121" s="63" t="inlineStr">
        <is>
          <t>Material Handling</t>
        </is>
      </c>
      <c r="D121" s="63" t="inlineStr">
        <is>
          <t>Sorting</t>
        </is>
      </c>
      <c r="E121" s="63" t="inlineStr">
        <is>
          <t>Transactional</t>
        </is>
      </c>
      <c r="F121" s="63" t="inlineStr">
        <is>
          <t>India+Export</t>
        </is>
      </c>
      <c r="G121" s="64" t="n">
        <v>390</v>
      </c>
      <c r="H121" s="64" t="n">
        <v>2400</v>
      </c>
      <c r="I121" s="64" t="n">
        <v>36</v>
      </c>
      <c r="J121" s="65">
        <f>100-I121</f>
        <v/>
      </c>
      <c r="K121" s="65" t="n">
        <v>100</v>
      </c>
      <c r="L121" s="66">
        <f>ROUND((G121/MAX($G$5:$G$271)*100*0.4)+(J121*0.35)+(K121*0.25),1)</f>
        <v/>
      </c>
      <c r="M121" s="63">
        <f>IF(L121&gt;=62,"1 - Do now",IF(L121&gt;=52,"2 - Next",IF(L121&gt;=44,"3 - Later","4 - Backlog")))</f>
        <v/>
      </c>
      <c r="N121" s="63" t="inlineStr">
        <is>
          <t>/products/msw-sorting-line</t>
        </is>
      </c>
    </row>
    <row r="122" ht="15" customHeight="1" s="54">
      <c r="A122" s="67" t="n">
        <v>118</v>
      </c>
      <c r="B122" s="67" t="inlineStr">
        <is>
          <t>scrap conveyor belt system</t>
        </is>
      </c>
      <c r="C122" s="67" t="inlineStr">
        <is>
          <t>Material Handling</t>
        </is>
      </c>
      <c r="D122" s="67" t="inlineStr">
        <is>
          <t>Conveyor</t>
        </is>
      </c>
      <c r="E122" s="67" t="inlineStr">
        <is>
          <t>Transactional</t>
        </is>
      </c>
      <c r="F122" s="67" t="inlineStr">
        <is>
          <t>India+Export</t>
        </is>
      </c>
      <c r="G122" s="68" t="n">
        <v>390</v>
      </c>
      <c r="H122" s="68" t="n">
        <v>1600</v>
      </c>
      <c r="I122" s="68" t="n">
        <v>31</v>
      </c>
      <c r="J122" s="69">
        <f>100-I122</f>
        <v/>
      </c>
      <c r="K122" s="69" t="n">
        <v>100</v>
      </c>
      <c r="L122" s="70">
        <f>ROUND((G122/MAX($G$5:$G$271)*100*0.4)+(J122*0.35)+(K122*0.25),1)</f>
        <v/>
      </c>
      <c r="M122" s="67">
        <f>IF(L122&gt;=62,"1 - Do now",IF(L122&gt;=52,"2 - Next",IF(L122&gt;=44,"3 - Later","4 - Backlog")))</f>
        <v/>
      </c>
      <c r="N122" s="67" t="inlineStr">
        <is>
          <t>/products/conveyors</t>
        </is>
      </c>
    </row>
    <row r="123" ht="15" customHeight="1" s="54">
      <c r="A123" s="63" t="n">
        <v>119</v>
      </c>
      <c r="B123" s="63" t="inlineStr">
        <is>
          <t>chain conveyor for scrap handling</t>
        </is>
      </c>
      <c r="C123" s="63" t="inlineStr">
        <is>
          <t>Material Handling</t>
        </is>
      </c>
      <c r="D123" s="63" t="inlineStr">
        <is>
          <t>Conveyor</t>
        </is>
      </c>
      <c r="E123" s="63" t="inlineStr">
        <is>
          <t>Transactional</t>
        </is>
      </c>
      <c r="F123" s="63" t="inlineStr">
        <is>
          <t>India+Export</t>
        </is>
      </c>
      <c r="G123" s="64" t="n">
        <v>90</v>
      </c>
      <c r="H123" s="64" t="n">
        <v>320</v>
      </c>
      <c r="I123" s="64" t="n">
        <v>20</v>
      </c>
      <c r="J123" s="65">
        <f>100-I123</f>
        <v/>
      </c>
      <c r="K123" s="65" t="n">
        <v>100</v>
      </c>
      <c r="L123" s="66">
        <f>ROUND((G123/MAX($G$5:$G$271)*100*0.4)+(J123*0.35)+(K123*0.25),1)</f>
        <v/>
      </c>
      <c r="M123" s="63">
        <f>IF(L123&gt;=62,"1 - Do now",IF(L123&gt;=52,"2 - Next",IF(L123&gt;=44,"3 - Later","4 - Backlog")))</f>
        <v/>
      </c>
      <c r="N123" s="63" t="inlineStr">
        <is>
          <t>/products/conveyors</t>
        </is>
      </c>
    </row>
    <row r="124" ht="15" customHeight="1" s="54">
      <c r="A124" s="67" t="n">
        <v>120</v>
      </c>
      <c r="B124" s="67" t="inlineStr">
        <is>
          <t>belt conveyor manufacturer india</t>
        </is>
      </c>
      <c r="C124" s="67" t="inlineStr">
        <is>
          <t>Material Handling</t>
        </is>
      </c>
      <c r="D124" s="67" t="inlineStr">
        <is>
          <t>Conveyor</t>
        </is>
      </c>
      <c r="E124" s="67" t="inlineStr">
        <is>
          <t>Transactional</t>
        </is>
      </c>
      <c r="F124" s="67" t="inlineStr">
        <is>
          <t>India</t>
        </is>
      </c>
      <c r="G124" s="68" t="n">
        <v>590</v>
      </c>
      <c r="H124" s="68" t="n">
        <v>880</v>
      </c>
      <c r="I124" s="68" t="n">
        <v>38</v>
      </c>
      <c r="J124" s="69">
        <f>100-I124</f>
        <v/>
      </c>
      <c r="K124" s="69" t="n">
        <v>100</v>
      </c>
      <c r="L124" s="70">
        <f>ROUND((G124/MAX($G$5:$G$271)*100*0.4)+(J124*0.35)+(K124*0.25),1)</f>
        <v/>
      </c>
      <c r="M124" s="67">
        <f>IF(L124&gt;=62,"1 - Do now",IF(L124&gt;=52,"2 - Next",IF(L124&gt;=44,"3 - Later","4 - Backlog")))</f>
        <v/>
      </c>
      <c r="N124" s="67" t="inlineStr">
        <is>
          <t>/products/conveyors</t>
        </is>
      </c>
    </row>
    <row r="125" ht="15" customHeight="1" s="54">
      <c r="A125" s="63" t="n">
        <v>121</v>
      </c>
      <c r="B125" s="63" t="inlineStr">
        <is>
          <t>vibratory conveyor for chips</t>
        </is>
      </c>
      <c r="C125" s="63" t="inlineStr">
        <is>
          <t>Material Handling</t>
        </is>
      </c>
      <c r="D125" s="63" t="inlineStr">
        <is>
          <t>Conveyor</t>
        </is>
      </c>
      <c r="E125" s="63" t="inlineStr">
        <is>
          <t>Transactional</t>
        </is>
      </c>
      <c r="F125" s="63" t="inlineStr">
        <is>
          <t>India+Export</t>
        </is>
      </c>
      <c r="G125" s="64" t="n">
        <v>110</v>
      </c>
      <c r="H125" s="64" t="n">
        <v>590</v>
      </c>
      <c r="I125" s="64" t="n">
        <v>22</v>
      </c>
      <c r="J125" s="65">
        <f>100-I125</f>
        <v/>
      </c>
      <c r="K125" s="65" t="n">
        <v>100</v>
      </c>
      <c r="L125" s="66">
        <f>ROUND((G125/MAX($G$5:$G$271)*100*0.4)+(J125*0.35)+(K125*0.25),1)</f>
        <v/>
      </c>
      <c r="M125" s="63">
        <f>IF(L125&gt;=62,"1 - Do now",IF(L125&gt;=52,"2 - Next",IF(L125&gt;=44,"3 - Later","4 - Backlog")))</f>
        <v/>
      </c>
      <c r="N125" s="63" t="inlineStr">
        <is>
          <t>/products/conveyors</t>
        </is>
      </c>
    </row>
    <row r="126" ht="15" customHeight="1" s="54">
      <c r="A126" s="67" t="n">
        <v>122</v>
      </c>
      <c r="B126" s="67" t="inlineStr">
        <is>
          <t>scrap grab crane price</t>
        </is>
      </c>
      <c r="C126" s="67" t="inlineStr">
        <is>
          <t>Material Handling</t>
        </is>
      </c>
      <c r="D126" s="67" t="inlineStr">
        <is>
          <t>Handling</t>
        </is>
      </c>
      <c r="E126" s="67" t="inlineStr">
        <is>
          <t>Transactional</t>
        </is>
      </c>
      <c r="F126" s="67" t="inlineStr">
        <is>
          <t>India+Export</t>
        </is>
      </c>
      <c r="G126" s="68" t="n">
        <v>170</v>
      </c>
      <c r="H126" s="68" t="n">
        <v>720</v>
      </c>
      <c r="I126" s="68" t="n">
        <v>27</v>
      </c>
      <c r="J126" s="69">
        <f>100-I126</f>
        <v/>
      </c>
      <c r="K126" s="69" t="n">
        <v>100</v>
      </c>
      <c r="L126" s="70">
        <f>ROUND((G126/MAX($G$5:$G$271)*100*0.4)+(J126*0.35)+(K126*0.25),1)</f>
        <v/>
      </c>
      <c r="M126" s="67">
        <f>IF(L126&gt;=62,"1 - Do now",IF(L126&gt;=52,"2 - Next",IF(L126&gt;=44,"3 - Later","4 - Backlog")))</f>
        <v/>
      </c>
      <c r="N126" s="67" t="inlineStr">
        <is>
          <t>/products/material-handling</t>
        </is>
      </c>
    </row>
    <row r="127" ht="15" customHeight="1" s="54">
      <c r="A127" s="63" t="n">
        <v>123</v>
      </c>
      <c r="B127" s="63" t="inlineStr">
        <is>
          <t>material handler for scrap yard</t>
        </is>
      </c>
      <c r="C127" s="63" t="inlineStr">
        <is>
          <t>Material Handling</t>
        </is>
      </c>
      <c r="D127" s="63" t="inlineStr">
        <is>
          <t>Handling</t>
        </is>
      </c>
      <c r="E127" s="63" t="inlineStr">
        <is>
          <t>Commercial</t>
        </is>
      </c>
      <c r="F127" s="63" t="inlineStr">
        <is>
          <t>India+Export</t>
        </is>
      </c>
      <c r="G127" s="64" t="n">
        <v>140</v>
      </c>
      <c r="H127" s="64" t="n">
        <v>880</v>
      </c>
      <c r="I127" s="64" t="n">
        <v>26</v>
      </c>
      <c r="J127" s="65">
        <f>100-I127</f>
        <v/>
      </c>
      <c r="K127" s="65" t="n">
        <v>75</v>
      </c>
      <c r="L127" s="66">
        <f>ROUND((G127/MAX($G$5:$G$271)*100*0.4)+(J127*0.35)+(K127*0.25),1)</f>
        <v/>
      </c>
      <c r="M127" s="63">
        <f>IF(L127&gt;=62,"1 - Do now",IF(L127&gt;=52,"2 - Next",IF(L127&gt;=44,"3 - Later","4 - Backlog")))</f>
        <v/>
      </c>
      <c r="N127" s="63" t="inlineStr">
        <is>
          <t>/products/material-handling</t>
        </is>
      </c>
    </row>
    <row r="128" ht="15" customHeight="1" s="54">
      <c r="A128" s="67" t="n">
        <v>124</v>
      </c>
      <c r="B128" s="67" t="inlineStr">
        <is>
          <t>fodder block making machine</t>
        </is>
      </c>
      <c r="C128" s="67" t="inlineStr">
        <is>
          <t>Agriculture</t>
        </is>
      </c>
      <c r="D128" s="67" t="inlineStr">
        <is>
          <t>Fodder</t>
        </is>
      </c>
      <c r="E128" s="67" t="inlineStr">
        <is>
          <t>Transactional</t>
        </is>
      </c>
      <c r="F128" s="67" t="inlineStr">
        <is>
          <t>India+Export</t>
        </is>
      </c>
      <c r="G128" s="68" t="n">
        <v>590</v>
      </c>
      <c r="H128" s="68" t="n">
        <v>880</v>
      </c>
      <c r="I128" s="68" t="n">
        <v>23</v>
      </c>
      <c r="J128" s="69">
        <f>100-I128</f>
        <v/>
      </c>
      <c r="K128" s="69" t="n">
        <v>100</v>
      </c>
      <c r="L128" s="70">
        <f>ROUND((G128/MAX($G$5:$G$271)*100*0.4)+(J128*0.35)+(K128*0.25),1)</f>
        <v/>
      </c>
      <c r="M128" s="67">
        <f>IF(L128&gt;=62,"1 - Do now",IF(L128&gt;=52,"2 - Next",IF(L128&gt;=44,"3 - Later","4 - Backlog")))</f>
        <v/>
      </c>
      <c r="N128" s="67" t="inlineStr">
        <is>
          <t>/products/fodder-block-machine</t>
        </is>
      </c>
    </row>
    <row r="129" ht="15" customHeight="1" s="54">
      <c r="A129" s="63" t="n">
        <v>125</v>
      </c>
      <c r="B129" s="63" t="inlineStr">
        <is>
          <t>total mixed ration block machine</t>
        </is>
      </c>
      <c r="C129" s="63" t="inlineStr">
        <is>
          <t>Agriculture</t>
        </is>
      </c>
      <c r="D129" s="63" t="inlineStr">
        <is>
          <t>Fodder</t>
        </is>
      </c>
      <c r="E129" s="63" t="inlineStr">
        <is>
          <t>Transactional</t>
        </is>
      </c>
      <c r="F129" s="63" t="inlineStr">
        <is>
          <t>India+Export</t>
        </is>
      </c>
      <c r="G129" s="64" t="n">
        <v>170</v>
      </c>
      <c r="H129" s="64" t="n">
        <v>390</v>
      </c>
      <c r="I129" s="64" t="n">
        <v>19</v>
      </c>
      <c r="J129" s="65">
        <f>100-I129</f>
        <v/>
      </c>
      <c r="K129" s="65" t="n">
        <v>100</v>
      </c>
      <c r="L129" s="66">
        <f>ROUND((G129/MAX($G$5:$G$271)*100*0.4)+(J129*0.35)+(K129*0.25),1)</f>
        <v/>
      </c>
      <c r="M129" s="63">
        <f>IF(L129&gt;=62,"1 - Do now",IF(L129&gt;=52,"2 - Next",IF(L129&gt;=44,"3 - Later","4 - Backlog")))</f>
        <v/>
      </c>
      <c r="N129" s="63" t="inlineStr">
        <is>
          <t>/products/fodder-block-machine</t>
        </is>
      </c>
    </row>
    <row r="130" ht="15" customHeight="1" s="54">
      <c r="A130" s="67" t="n">
        <v>126</v>
      </c>
      <c r="B130" s="67" t="inlineStr">
        <is>
          <t>cattle feed block machine price</t>
        </is>
      </c>
      <c r="C130" s="67" t="inlineStr">
        <is>
          <t>Agriculture</t>
        </is>
      </c>
      <c r="D130" s="67" t="inlineStr">
        <is>
          <t>Fodder</t>
        </is>
      </c>
      <c r="E130" s="67" t="inlineStr">
        <is>
          <t>Transactional</t>
        </is>
      </c>
      <c r="F130" s="67" t="inlineStr">
        <is>
          <t>India</t>
        </is>
      </c>
      <c r="G130" s="68" t="n">
        <v>320</v>
      </c>
      <c r="H130" s="68" t="n">
        <v>480</v>
      </c>
      <c r="I130" s="68" t="n">
        <v>24</v>
      </c>
      <c r="J130" s="69">
        <f>100-I130</f>
        <v/>
      </c>
      <c r="K130" s="69" t="n">
        <v>100</v>
      </c>
      <c r="L130" s="70">
        <f>ROUND((G130/MAX($G$5:$G$271)*100*0.4)+(J130*0.35)+(K130*0.25),1)</f>
        <v/>
      </c>
      <c r="M130" s="67">
        <f>IF(L130&gt;=62,"1 - Do now",IF(L130&gt;=52,"2 - Next",IF(L130&gt;=44,"3 - Later","4 - Backlog")))</f>
        <v/>
      </c>
      <c r="N130" s="67" t="inlineStr">
        <is>
          <t>/products/fodder-block-machine</t>
        </is>
      </c>
    </row>
    <row r="131" ht="15" customHeight="1" s="54">
      <c r="A131" s="63" t="n">
        <v>127</v>
      </c>
      <c r="B131" s="63" t="inlineStr">
        <is>
          <t>straw baler machine price india</t>
        </is>
      </c>
      <c r="C131" s="63" t="inlineStr">
        <is>
          <t>Agriculture</t>
        </is>
      </c>
      <c r="D131" s="63" t="inlineStr">
        <is>
          <t>Straw</t>
        </is>
      </c>
      <c r="E131" s="63" t="inlineStr">
        <is>
          <t>Transactional</t>
        </is>
      </c>
      <c r="F131" s="63" t="inlineStr">
        <is>
          <t>India</t>
        </is>
      </c>
      <c r="G131" s="64" t="n">
        <v>720</v>
      </c>
      <c r="H131" s="64" t="n">
        <v>1000</v>
      </c>
      <c r="I131" s="64" t="n">
        <v>30</v>
      </c>
      <c r="J131" s="65">
        <f>100-I131</f>
        <v/>
      </c>
      <c r="K131" s="65" t="n">
        <v>100</v>
      </c>
      <c r="L131" s="66">
        <f>ROUND((G131/MAX($G$5:$G$271)*100*0.4)+(J131*0.35)+(K131*0.25),1)</f>
        <v/>
      </c>
      <c r="M131" s="63">
        <f>IF(L131&gt;=62,"1 - Do now",IF(L131&gt;=52,"2 - Next",IF(L131&gt;=44,"3 - Later","4 - Backlog")))</f>
        <v/>
      </c>
      <c r="N131" s="63" t="inlineStr">
        <is>
          <t>/products/straw-baler</t>
        </is>
      </c>
    </row>
    <row r="132" ht="15" customHeight="1" s="54">
      <c r="A132" s="67" t="n">
        <v>128</v>
      </c>
      <c r="B132" s="67" t="inlineStr">
        <is>
          <t>paddy straw baling machine subsidy</t>
        </is>
      </c>
      <c r="C132" s="67" t="inlineStr">
        <is>
          <t>Agriculture</t>
        </is>
      </c>
      <c r="D132" s="67" t="inlineStr">
        <is>
          <t>Straw</t>
        </is>
      </c>
      <c r="E132" s="67" t="inlineStr">
        <is>
          <t>Informational</t>
        </is>
      </c>
      <c r="F132" s="67" t="inlineStr">
        <is>
          <t>India</t>
        </is>
      </c>
      <c r="G132" s="68" t="n">
        <v>480</v>
      </c>
      <c r="H132" s="68" t="n">
        <v>590</v>
      </c>
      <c r="I132" s="68" t="n">
        <v>26</v>
      </c>
      <c r="J132" s="69">
        <f>100-I132</f>
        <v/>
      </c>
      <c r="K132" s="69" t="n">
        <v>40</v>
      </c>
      <c r="L132" s="70">
        <f>ROUND((G132/MAX($G$5:$G$271)*100*0.4)+(J132*0.35)+(K132*0.25),1)</f>
        <v/>
      </c>
      <c r="M132" s="67">
        <f>IF(L132&gt;=62,"1 - Do now",IF(L132&gt;=52,"2 - Next",IF(L132&gt;=44,"3 - Later","4 - Backlog")))</f>
        <v/>
      </c>
      <c r="N132" s="67" t="inlineStr">
        <is>
          <t>/blog/straw-baler-subsidy</t>
        </is>
      </c>
    </row>
    <row r="133" ht="15" customHeight="1" s="54">
      <c r="A133" s="63" t="n">
        <v>129</v>
      </c>
      <c r="B133" s="63" t="inlineStr">
        <is>
          <t>crop residue management machinery</t>
        </is>
      </c>
      <c r="C133" s="63" t="inlineStr">
        <is>
          <t>Agriculture</t>
        </is>
      </c>
      <c r="D133" s="63" t="inlineStr">
        <is>
          <t>Straw</t>
        </is>
      </c>
      <c r="E133" s="63" t="inlineStr">
        <is>
          <t>Commercial</t>
        </is>
      </c>
      <c r="F133" s="63" t="inlineStr">
        <is>
          <t>India</t>
        </is>
      </c>
      <c r="G133" s="64" t="n">
        <v>320</v>
      </c>
      <c r="H133" s="64" t="n">
        <v>480</v>
      </c>
      <c r="I133" s="64" t="n">
        <v>27</v>
      </c>
      <c r="J133" s="65">
        <f>100-I133</f>
        <v/>
      </c>
      <c r="K133" s="65" t="n">
        <v>75</v>
      </c>
      <c r="L133" s="66">
        <f>ROUND((G133/MAX($G$5:$G$271)*100*0.4)+(J133*0.35)+(K133*0.25),1)</f>
        <v/>
      </c>
      <c r="M133" s="63">
        <f>IF(L133&gt;=62,"1 - Do now",IF(L133&gt;=52,"2 - Next",IF(L133&gt;=44,"3 - Later","4 - Backlog")))</f>
        <v/>
      </c>
      <c r="N133" s="63" t="inlineStr">
        <is>
          <t>/products/straw-baler</t>
        </is>
      </c>
    </row>
    <row r="134" ht="15" customHeight="1" s="54">
      <c r="A134" s="67" t="n">
        <v>130</v>
      </c>
      <c r="B134" s="67" t="inlineStr">
        <is>
          <t>stubble burning alternative machine</t>
        </is>
      </c>
      <c r="C134" s="67" t="inlineStr">
        <is>
          <t>Agriculture</t>
        </is>
      </c>
      <c r="D134" s="67" t="inlineStr">
        <is>
          <t>Straw</t>
        </is>
      </c>
      <c r="E134" s="67" t="inlineStr">
        <is>
          <t>Informational</t>
        </is>
      </c>
      <c r="F134" s="67" t="inlineStr">
        <is>
          <t>India</t>
        </is>
      </c>
      <c r="G134" s="68" t="n">
        <v>590</v>
      </c>
      <c r="H134" s="68" t="n">
        <v>720</v>
      </c>
      <c r="I134" s="68" t="n">
        <v>31</v>
      </c>
      <c r="J134" s="69">
        <f>100-I134</f>
        <v/>
      </c>
      <c r="K134" s="69" t="n">
        <v>40</v>
      </c>
      <c r="L134" s="70">
        <f>ROUND((G134/MAX($G$5:$G$271)*100*0.4)+(J134*0.35)+(K134*0.25),1)</f>
        <v/>
      </c>
      <c r="M134" s="67">
        <f>IF(L134&gt;=62,"1 - Do now",IF(L134&gt;=52,"2 - Next",IF(L134&gt;=44,"3 - Later","4 - Backlog")))</f>
        <v/>
      </c>
      <c r="N134" s="67" t="inlineStr">
        <is>
          <t>/blog/stubble-management</t>
        </is>
      </c>
    </row>
    <row r="135" ht="15" customHeight="1" s="54">
      <c r="A135" s="63" t="n">
        <v>131</v>
      </c>
      <c r="B135" s="63" t="inlineStr">
        <is>
          <t>silage baler machine india</t>
        </is>
      </c>
      <c r="C135" s="63" t="inlineStr">
        <is>
          <t>Agriculture</t>
        </is>
      </c>
      <c r="D135" s="63" t="inlineStr">
        <is>
          <t>Straw</t>
        </is>
      </c>
      <c r="E135" s="63" t="inlineStr">
        <is>
          <t>Transactional</t>
        </is>
      </c>
      <c r="F135" s="63" t="inlineStr">
        <is>
          <t>India</t>
        </is>
      </c>
      <c r="G135" s="64" t="n">
        <v>480</v>
      </c>
      <c r="H135" s="64" t="n">
        <v>720</v>
      </c>
      <c r="I135" s="64" t="n">
        <v>28</v>
      </c>
      <c r="J135" s="65">
        <f>100-I135</f>
        <v/>
      </c>
      <c r="K135" s="65" t="n">
        <v>100</v>
      </c>
      <c r="L135" s="66">
        <f>ROUND((G135/MAX($G$5:$G$271)*100*0.4)+(J135*0.35)+(K135*0.25),1)</f>
        <v/>
      </c>
      <c r="M135" s="63">
        <f>IF(L135&gt;=62,"1 - Do now",IF(L135&gt;=52,"2 - Next",IF(L135&gt;=44,"3 - Later","4 - Backlog")))</f>
        <v/>
      </c>
      <c r="N135" s="63" t="inlineStr">
        <is>
          <t>/products/straw-baler</t>
        </is>
      </c>
    </row>
    <row r="136" ht="15" customHeight="1" s="54">
      <c r="A136" s="67" t="n">
        <v>132</v>
      </c>
      <c r="B136" s="67" t="inlineStr">
        <is>
          <t>bagasse baling machine</t>
        </is>
      </c>
      <c r="C136" s="67" t="inlineStr">
        <is>
          <t>Agriculture</t>
        </is>
      </c>
      <c r="D136" s="67" t="inlineStr">
        <is>
          <t>Straw</t>
        </is>
      </c>
      <c r="E136" s="67" t="inlineStr">
        <is>
          <t>Transactional</t>
        </is>
      </c>
      <c r="F136" s="67" t="inlineStr">
        <is>
          <t>India+Export</t>
        </is>
      </c>
      <c r="G136" s="68" t="n">
        <v>210</v>
      </c>
      <c r="H136" s="68" t="n">
        <v>320</v>
      </c>
      <c r="I136" s="68" t="n">
        <v>20</v>
      </c>
      <c r="J136" s="69">
        <f>100-I136</f>
        <v/>
      </c>
      <c r="K136" s="69" t="n">
        <v>100</v>
      </c>
      <c r="L136" s="70">
        <f>ROUND((G136/MAX($G$5:$G$271)*100*0.4)+(J136*0.35)+(K136*0.25),1)</f>
        <v/>
      </c>
      <c r="M136" s="67">
        <f>IF(L136&gt;=62,"1 - Do now",IF(L136&gt;=52,"2 - Next",IF(L136&gt;=44,"3 - Later","4 - Backlog")))</f>
        <v/>
      </c>
      <c r="N136" s="67" t="inlineStr">
        <is>
          <t>/products/straw-baler</t>
        </is>
      </c>
    </row>
    <row r="137" ht="15" customHeight="1" s="54">
      <c r="A137" s="63" t="n">
        <v>133</v>
      </c>
      <c r="B137" s="63" t="inlineStr">
        <is>
          <t>rice husk baling press</t>
        </is>
      </c>
      <c r="C137" s="63" t="inlineStr">
        <is>
          <t>Agriculture</t>
        </is>
      </c>
      <c r="D137" s="63" t="inlineStr">
        <is>
          <t>Straw</t>
        </is>
      </c>
      <c r="E137" s="63" t="inlineStr">
        <is>
          <t>Transactional</t>
        </is>
      </c>
      <c r="F137" s="63" t="inlineStr">
        <is>
          <t>India</t>
        </is>
      </c>
      <c r="G137" s="64" t="n">
        <v>140</v>
      </c>
      <c r="H137" s="64" t="n">
        <v>210</v>
      </c>
      <c r="I137" s="64" t="n">
        <v>17</v>
      </c>
      <c r="J137" s="65">
        <f>100-I137</f>
        <v/>
      </c>
      <c r="K137" s="65" t="n">
        <v>100</v>
      </c>
      <c r="L137" s="66">
        <f>ROUND((G137/MAX($G$5:$G$271)*100*0.4)+(J137*0.35)+(K137*0.25),1)</f>
        <v/>
      </c>
      <c r="M137" s="63">
        <f>IF(L137&gt;=62,"1 - Do now",IF(L137&gt;=52,"2 - Next",IF(L137&gt;=44,"3 - Later","4 - Backlog")))</f>
        <v/>
      </c>
      <c r="N137" s="63" t="inlineStr">
        <is>
          <t>/products/straw-baler</t>
        </is>
      </c>
    </row>
    <row r="138" ht="15" customHeight="1" s="54">
      <c r="A138" s="67" t="n">
        <v>134</v>
      </c>
      <c r="B138" s="67" t="inlineStr">
        <is>
          <t>groundnut shell briquette machine</t>
        </is>
      </c>
      <c r="C138" s="67" t="inlineStr">
        <is>
          <t>Agriculture</t>
        </is>
      </c>
      <c r="D138" s="67" t="inlineStr">
        <is>
          <t>Straw</t>
        </is>
      </c>
      <c r="E138" s="67" t="inlineStr">
        <is>
          <t>Transactional</t>
        </is>
      </c>
      <c r="F138" s="67" t="inlineStr">
        <is>
          <t>India</t>
        </is>
      </c>
      <c r="G138" s="68" t="n">
        <v>170</v>
      </c>
      <c r="H138" s="68" t="n">
        <v>390</v>
      </c>
      <c r="I138" s="68" t="n">
        <v>22</v>
      </c>
      <c r="J138" s="69">
        <f>100-I138</f>
        <v/>
      </c>
      <c r="K138" s="69" t="n">
        <v>100</v>
      </c>
      <c r="L138" s="70">
        <f>ROUND((G138/MAX($G$5:$G$271)*100*0.4)+(J138*0.35)+(K138*0.25),1)</f>
        <v/>
      </c>
      <c r="M138" s="67">
        <f>IF(L138&gt;=62,"1 - Do now",IF(L138&gt;=52,"2 - Next",IF(L138&gt;=44,"3 - Later","4 - Backlog")))</f>
        <v/>
      </c>
      <c r="N138" s="67" t="inlineStr">
        <is>
          <t>/products/briquetting</t>
        </is>
      </c>
    </row>
    <row r="139" ht="15" customHeight="1" s="54">
      <c r="A139" s="63" t="n">
        <v>135</v>
      </c>
      <c r="B139" s="63" t="inlineStr">
        <is>
          <t>baling press spare parts</t>
        </is>
      </c>
      <c r="C139" s="63" t="inlineStr">
        <is>
          <t>Service &amp; Spares</t>
        </is>
      </c>
      <c r="D139" s="63" t="inlineStr">
        <is>
          <t>Spares</t>
        </is>
      </c>
      <c r="E139" s="63" t="inlineStr">
        <is>
          <t>Transactional</t>
        </is>
      </c>
      <c r="F139" s="63" t="inlineStr">
        <is>
          <t>India+Export</t>
        </is>
      </c>
      <c r="G139" s="64" t="n">
        <v>260</v>
      </c>
      <c r="H139" s="64" t="n">
        <v>590</v>
      </c>
      <c r="I139" s="64" t="n">
        <v>16</v>
      </c>
      <c r="J139" s="65">
        <f>100-I139</f>
        <v/>
      </c>
      <c r="K139" s="65" t="n">
        <v>100</v>
      </c>
      <c r="L139" s="66">
        <f>ROUND((G139/MAX($G$5:$G$271)*100*0.4)+(J139*0.35)+(K139*0.25),1)</f>
        <v/>
      </c>
      <c r="M139" s="63">
        <f>IF(L139&gt;=62,"1 - Do now",IF(L139&gt;=52,"2 - Next",IF(L139&gt;=44,"3 - Later","4 - Backlog")))</f>
        <v/>
      </c>
      <c r="N139" s="63" t="inlineStr">
        <is>
          <t>/spares</t>
        </is>
      </c>
    </row>
    <row r="140" ht="15" customHeight="1" s="54">
      <c r="A140" s="67" t="n">
        <v>136</v>
      </c>
      <c r="B140" s="67" t="inlineStr">
        <is>
          <t>hydraulic cylinder for baling press</t>
        </is>
      </c>
      <c r="C140" s="67" t="inlineStr">
        <is>
          <t>Service &amp; Spares</t>
        </is>
      </c>
      <c r="D140" s="67" t="inlineStr">
        <is>
          <t>Spares</t>
        </is>
      </c>
      <c r="E140" s="67" t="inlineStr">
        <is>
          <t>Transactional</t>
        </is>
      </c>
      <c r="F140" s="67" t="inlineStr">
        <is>
          <t>India+Export</t>
        </is>
      </c>
      <c r="G140" s="68" t="n">
        <v>320</v>
      </c>
      <c r="H140" s="68" t="n">
        <v>880</v>
      </c>
      <c r="I140" s="68" t="n">
        <v>22</v>
      </c>
      <c r="J140" s="69">
        <f>100-I140</f>
        <v/>
      </c>
      <c r="K140" s="69" t="n">
        <v>100</v>
      </c>
      <c r="L140" s="70">
        <f>ROUND((G140/MAX($G$5:$G$271)*100*0.4)+(J140*0.35)+(K140*0.25),1)</f>
        <v/>
      </c>
      <c r="M140" s="67">
        <f>IF(L140&gt;=62,"1 - Do now",IF(L140&gt;=52,"2 - Next",IF(L140&gt;=44,"3 - Later","4 - Backlog")))</f>
        <v/>
      </c>
      <c r="N140" s="67" t="inlineStr">
        <is>
          <t>/spares</t>
        </is>
      </c>
    </row>
    <row r="141" ht="15" customHeight="1" s="54">
      <c r="A141" s="63" t="n">
        <v>137</v>
      </c>
      <c r="B141" s="63" t="inlineStr">
        <is>
          <t>hardox wear plate supplier india</t>
        </is>
      </c>
      <c r="C141" s="63" t="inlineStr">
        <is>
          <t>Service &amp; Spares</t>
        </is>
      </c>
      <c r="D141" s="63" t="inlineStr">
        <is>
          <t>Spares</t>
        </is>
      </c>
      <c r="E141" s="63" t="inlineStr">
        <is>
          <t>Transactional</t>
        </is>
      </c>
      <c r="F141" s="63" t="inlineStr">
        <is>
          <t>India</t>
        </is>
      </c>
      <c r="G141" s="64" t="n">
        <v>390</v>
      </c>
      <c r="H141" s="64" t="n">
        <v>720</v>
      </c>
      <c r="I141" s="64" t="n">
        <v>28</v>
      </c>
      <c r="J141" s="65">
        <f>100-I141</f>
        <v/>
      </c>
      <c r="K141" s="65" t="n">
        <v>100</v>
      </c>
      <c r="L141" s="66">
        <f>ROUND((G141/MAX($G$5:$G$271)*100*0.4)+(J141*0.35)+(K141*0.25),1)</f>
        <v/>
      </c>
      <c r="M141" s="63">
        <f>IF(L141&gt;=62,"1 - Do now",IF(L141&gt;=52,"2 - Next",IF(L141&gt;=44,"3 - Later","4 - Backlog")))</f>
        <v/>
      </c>
      <c r="N141" s="63" t="inlineStr">
        <is>
          <t>/spares</t>
        </is>
      </c>
    </row>
    <row r="142" ht="15" customHeight="1" s="54">
      <c r="A142" s="67" t="n">
        <v>138</v>
      </c>
      <c r="B142" s="67" t="inlineStr">
        <is>
          <t>baler shear blade replacement</t>
        </is>
      </c>
      <c r="C142" s="67" t="inlineStr">
        <is>
          <t>Service &amp; Spares</t>
        </is>
      </c>
      <c r="D142" s="67" t="inlineStr">
        <is>
          <t>Spares</t>
        </is>
      </c>
      <c r="E142" s="67" t="inlineStr">
        <is>
          <t>Transactional</t>
        </is>
      </c>
      <c r="F142" s="67" t="inlineStr">
        <is>
          <t>India+Export</t>
        </is>
      </c>
      <c r="G142" s="68" t="n">
        <v>140</v>
      </c>
      <c r="H142" s="68" t="n">
        <v>590</v>
      </c>
      <c r="I142" s="68" t="n">
        <v>17</v>
      </c>
      <c r="J142" s="69">
        <f>100-I142</f>
        <v/>
      </c>
      <c r="K142" s="69" t="n">
        <v>100</v>
      </c>
      <c r="L142" s="70">
        <f>ROUND((G142/MAX($G$5:$G$271)*100*0.4)+(J142*0.35)+(K142*0.25),1)</f>
        <v/>
      </c>
      <c r="M142" s="67">
        <f>IF(L142&gt;=62,"1 - Do now",IF(L142&gt;=52,"2 - Next",IF(L142&gt;=44,"3 - Later","4 - Backlog")))</f>
        <v/>
      </c>
      <c r="N142" s="67" t="inlineStr">
        <is>
          <t>/spares</t>
        </is>
      </c>
    </row>
    <row r="143" ht="15" customHeight="1" s="54">
      <c r="A143" s="63" t="n">
        <v>139</v>
      </c>
      <c r="B143" s="63" t="inlineStr">
        <is>
          <t>hydraulic power pack for baler</t>
        </is>
      </c>
      <c r="C143" s="63" t="inlineStr">
        <is>
          <t>Service &amp; Spares</t>
        </is>
      </c>
      <c r="D143" s="63" t="inlineStr">
        <is>
          <t>Spares</t>
        </is>
      </c>
      <c r="E143" s="63" t="inlineStr">
        <is>
          <t>Transactional</t>
        </is>
      </c>
      <c r="F143" s="63" t="inlineStr">
        <is>
          <t>India+Export</t>
        </is>
      </c>
      <c r="G143" s="64" t="n">
        <v>210</v>
      </c>
      <c r="H143" s="64" t="n">
        <v>480</v>
      </c>
      <c r="I143" s="64" t="n">
        <v>20</v>
      </c>
      <c r="J143" s="65">
        <f>100-I143</f>
        <v/>
      </c>
      <c r="K143" s="65" t="n">
        <v>100</v>
      </c>
      <c r="L143" s="66">
        <f>ROUND((G143/MAX($G$5:$G$271)*100*0.4)+(J143*0.35)+(K143*0.25),1)</f>
        <v/>
      </c>
      <c r="M143" s="63">
        <f>IF(L143&gt;=62,"1 - Do now",IF(L143&gt;=52,"2 - Next",IF(L143&gt;=44,"3 - Later","4 - Backlog")))</f>
        <v/>
      </c>
      <c r="N143" s="63" t="inlineStr">
        <is>
          <t>/spares</t>
        </is>
      </c>
    </row>
    <row r="144" ht="15" customHeight="1" s="54">
      <c r="A144" s="67" t="n">
        <v>140</v>
      </c>
      <c r="B144" s="67" t="inlineStr">
        <is>
          <t>baling press amc service india</t>
        </is>
      </c>
      <c r="C144" s="67" t="inlineStr">
        <is>
          <t>Service &amp; Spares</t>
        </is>
      </c>
      <c r="D144" s="67" t="inlineStr">
        <is>
          <t>Service</t>
        </is>
      </c>
      <c r="E144" s="67" t="inlineStr">
        <is>
          <t>Transactional</t>
        </is>
      </c>
      <c r="F144" s="67" t="inlineStr">
        <is>
          <t>India</t>
        </is>
      </c>
      <c r="G144" s="68" t="n">
        <v>90</v>
      </c>
      <c r="H144" s="68" t="n">
        <v>110</v>
      </c>
      <c r="I144" s="68" t="n">
        <v>11</v>
      </c>
      <c r="J144" s="69">
        <f>100-I144</f>
        <v/>
      </c>
      <c r="K144" s="69" t="n">
        <v>100</v>
      </c>
      <c r="L144" s="70">
        <f>ROUND((G144/MAX($G$5:$G$271)*100*0.4)+(J144*0.35)+(K144*0.25),1)</f>
        <v/>
      </c>
      <c r="M144" s="67">
        <f>IF(L144&gt;=62,"1 - Do now",IF(L144&gt;=52,"2 - Next",IF(L144&gt;=44,"3 - Later","4 - Backlog")))</f>
        <v/>
      </c>
      <c r="N144" s="67" t="inlineStr">
        <is>
          <t>/service</t>
        </is>
      </c>
    </row>
    <row r="145" ht="15" customHeight="1" s="54">
      <c r="A145" s="63" t="n">
        <v>141</v>
      </c>
      <c r="B145" s="63" t="inlineStr">
        <is>
          <t>baler machine repair service</t>
        </is>
      </c>
      <c r="C145" s="63" t="inlineStr">
        <is>
          <t>Service &amp; Spares</t>
        </is>
      </c>
      <c r="D145" s="63" t="inlineStr">
        <is>
          <t>Service</t>
        </is>
      </c>
      <c r="E145" s="63" t="inlineStr">
        <is>
          <t>Transactional</t>
        </is>
      </c>
      <c r="F145" s="63" t="inlineStr">
        <is>
          <t>India+Export</t>
        </is>
      </c>
      <c r="G145" s="64" t="n">
        <v>170</v>
      </c>
      <c r="H145" s="64" t="n">
        <v>880</v>
      </c>
      <c r="I145" s="64" t="n">
        <v>19</v>
      </c>
      <c r="J145" s="65">
        <f>100-I145</f>
        <v/>
      </c>
      <c r="K145" s="65" t="n">
        <v>100</v>
      </c>
      <c r="L145" s="66">
        <f>ROUND((G145/MAX($G$5:$G$271)*100*0.4)+(J145*0.35)+(K145*0.25),1)</f>
        <v/>
      </c>
      <c r="M145" s="63">
        <f>IF(L145&gt;=62,"1 - Do now",IF(L145&gt;=52,"2 - Next",IF(L145&gt;=44,"3 - Later","4 - Backlog")))</f>
        <v/>
      </c>
      <c r="N145" s="63" t="inlineStr">
        <is>
          <t>/service</t>
        </is>
      </c>
    </row>
    <row r="146" ht="15" customHeight="1" s="54">
      <c r="A146" s="67" t="n">
        <v>142</v>
      </c>
      <c r="B146" s="67" t="inlineStr">
        <is>
          <t>baling press installation and training</t>
        </is>
      </c>
      <c r="C146" s="67" t="inlineStr">
        <is>
          <t>Service &amp; Spares</t>
        </is>
      </c>
      <c r="D146" s="67" t="inlineStr">
        <is>
          <t>Service</t>
        </is>
      </c>
      <c r="E146" s="67" t="inlineStr">
        <is>
          <t>Commercial</t>
        </is>
      </c>
      <c r="F146" s="67" t="inlineStr">
        <is>
          <t>India+Export</t>
        </is>
      </c>
      <c r="G146" s="68" t="n">
        <v>70</v>
      </c>
      <c r="H146" s="68" t="n">
        <v>140</v>
      </c>
      <c r="I146" s="68" t="n">
        <v>12</v>
      </c>
      <c r="J146" s="69">
        <f>100-I146</f>
        <v/>
      </c>
      <c r="K146" s="69" t="n">
        <v>75</v>
      </c>
      <c r="L146" s="70">
        <f>ROUND((G146/MAX($G$5:$G$271)*100*0.4)+(J146*0.35)+(K146*0.25),1)</f>
        <v/>
      </c>
      <c r="M146" s="67">
        <f>IF(L146&gt;=62,"1 - Do now",IF(L146&gt;=52,"2 - Next",IF(L146&gt;=44,"3 - Later","4 - Backlog")))</f>
        <v/>
      </c>
      <c r="N146" s="67" t="inlineStr">
        <is>
          <t>/service</t>
        </is>
      </c>
    </row>
    <row r="147" ht="15" customHeight="1" s="54">
      <c r="A147" s="63" t="n">
        <v>143</v>
      </c>
      <c r="B147" s="63" t="inlineStr">
        <is>
          <t>hydraulic oil chiller for baler</t>
        </is>
      </c>
      <c r="C147" s="63" t="inlineStr">
        <is>
          <t>Service &amp; Spares</t>
        </is>
      </c>
      <c r="D147" s="63" t="inlineStr">
        <is>
          <t>Spares</t>
        </is>
      </c>
      <c r="E147" s="63" t="inlineStr">
        <is>
          <t>Transactional</t>
        </is>
      </c>
      <c r="F147" s="63" t="inlineStr">
        <is>
          <t>India+Export</t>
        </is>
      </c>
      <c r="G147" s="64" t="n">
        <v>90</v>
      </c>
      <c r="H147" s="64" t="n">
        <v>260</v>
      </c>
      <c r="I147" s="64" t="n">
        <v>15</v>
      </c>
      <c r="J147" s="65">
        <f>100-I147</f>
        <v/>
      </c>
      <c r="K147" s="65" t="n">
        <v>100</v>
      </c>
      <c r="L147" s="66">
        <f>ROUND((G147/MAX($G$5:$G$271)*100*0.4)+(J147*0.35)+(K147*0.25),1)</f>
        <v/>
      </c>
      <c r="M147" s="63">
        <f>IF(L147&gt;=62,"1 - Do now",IF(L147&gt;=52,"2 - Next",IF(L147&gt;=44,"3 - Later","4 - Backlog")))</f>
        <v/>
      </c>
      <c r="N147" s="63" t="inlineStr">
        <is>
          <t>/spares</t>
        </is>
      </c>
    </row>
    <row r="148" ht="15" customHeight="1" s="54">
      <c r="A148" s="67" t="n">
        <v>144</v>
      </c>
      <c r="B148" s="67" t="inlineStr">
        <is>
          <t>plc control panel for baling press</t>
        </is>
      </c>
      <c r="C148" s="67" t="inlineStr">
        <is>
          <t>Service &amp; Spares</t>
        </is>
      </c>
      <c r="D148" s="67" t="inlineStr">
        <is>
          <t>Spares</t>
        </is>
      </c>
      <c r="E148" s="67" t="inlineStr">
        <is>
          <t>Transactional</t>
        </is>
      </c>
      <c r="F148" s="67" t="inlineStr">
        <is>
          <t>India+Export</t>
        </is>
      </c>
      <c r="G148" s="68" t="n">
        <v>110</v>
      </c>
      <c r="H148" s="68" t="n">
        <v>320</v>
      </c>
      <c r="I148" s="68" t="n">
        <v>18</v>
      </c>
      <c r="J148" s="69">
        <f>100-I148</f>
        <v/>
      </c>
      <c r="K148" s="69" t="n">
        <v>100</v>
      </c>
      <c r="L148" s="70">
        <f>ROUND((G148/MAX($G$5:$G$271)*100*0.4)+(J148*0.35)+(K148*0.25),1)</f>
        <v/>
      </c>
      <c r="M148" s="67">
        <f>IF(L148&gt;=62,"1 - Do now",IF(L148&gt;=52,"2 - Next",IF(L148&gt;=44,"3 - Later","4 - Backlog")))</f>
        <v/>
      </c>
      <c r="N148" s="67" t="inlineStr">
        <is>
          <t>/spares</t>
        </is>
      </c>
    </row>
    <row r="149" ht="15" customHeight="1" s="54">
      <c r="A149" s="63" t="n">
        <v>145</v>
      </c>
      <c r="B149" s="63" t="inlineStr">
        <is>
          <t>types of scrap baling machines</t>
        </is>
      </c>
      <c r="C149" s="63" t="inlineStr">
        <is>
          <t>Informational</t>
        </is>
      </c>
      <c r="D149" s="63" t="inlineStr">
        <is>
          <t>Education</t>
        </is>
      </c>
      <c r="E149" s="63" t="inlineStr">
        <is>
          <t>Informational</t>
        </is>
      </c>
      <c r="F149" s="63" t="inlineStr">
        <is>
          <t>All</t>
        </is>
      </c>
      <c r="G149" s="64" t="n">
        <v>320</v>
      </c>
      <c r="H149" s="64" t="n">
        <v>1300</v>
      </c>
      <c r="I149" s="64" t="n">
        <v>18</v>
      </c>
      <c r="J149" s="65">
        <f>100-I149</f>
        <v/>
      </c>
      <c r="K149" s="65" t="n">
        <v>40</v>
      </c>
      <c r="L149" s="66">
        <f>ROUND((G149/MAX($G$5:$G$271)*100*0.4)+(J149*0.35)+(K149*0.25),1)</f>
        <v/>
      </c>
      <c r="M149" s="63">
        <f>IF(L149&gt;=62,"1 - Do now",IF(L149&gt;=52,"2 - Next",IF(L149&gt;=44,"3 - Later","4 - Backlog")))</f>
        <v/>
      </c>
      <c r="N149" s="63" t="inlineStr">
        <is>
          <t>/blog/types-of-balers</t>
        </is>
      </c>
    </row>
    <row r="150" ht="15" customHeight="1" s="54">
      <c r="A150" s="67" t="n">
        <v>146</v>
      </c>
      <c r="B150" s="67" t="inlineStr">
        <is>
          <t>how does a hydraulic baler work</t>
        </is>
      </c>
      <c r="C150" s="67" t="inlineStr">
        <is>
          <t>Informational</t>
        </is>
      </c>
      <c r="D150" s="67" t="inlineStr">
        <is>
          <t>Education</t>
        </is>
      </c>
      <c r="E150" s="67" t="inlineStr">
        <is>
          <t>Informational</t>
        </is>
      </c>
      <c r="F150" s="67" t="inlineStr">
        <is>
          <t>All</t>
        </is>
      </c>
      <c r="G150" s="68" t="n">
        <v>260</v>
      </c>
      <c r="H150" s="68" t="n">
        <v>2400</v>
      </c>
      <c r="I150" s="68" t="n">
        <v>20</v>
      </c>
      <c r="J150" s="69">
        <f>100-I150</f>
        <v/>
      </c>
      <c r="K150" s="69" t="n">
        <v>40</v>
      </c>
      <c r="L150" s="70">
        <f>ROUND((G150/MAX($G$5:$G$271)*100*0.4)+(J150*0.35)+(K150*0.25),1)</f>
        <v/>
      </c>
      <c r="M150" s="67">
        <f>IF(L150&gt;=62,"1 - Do now",IF(L150&gt;=52,"2 - Next",IF(L150&gt;=44,"3 - Later","4 - Backlog")))</f>
        <v/>
      </c>
      <c r="N150" s="67" t="inlineStr">
        <is>
          <t>/blog/how-baler-works</t>
        </is>
      </c>
    </row>
    <row r="151" ht="15" customHeight="1" s="54">
      <c r="A151" s="63" t="n">
        <v>147</v>
      </c>
      <c r="B151" s="63" t="inlineStr">
        <is>
          <t>what is a baling press machine</t>
        </is>
      </c>
      <c r="C151" s="63" t="inlineStr">
        <is>
          <t>Informational</t>
        </is>
      </c>
      <c r="D151" s="63" t="inlineStr">
        <is>
          <t>Education</t>
        </is>
      </c>
      <c r="E151" s="63" t="inlineStr">
        <is>
          <t>Informational</t>
        </is>
      </c>
      <c r="F151" s="63" t="inlineStr">
        <is>
          <t>All</t>
        </is>
      </c>
      <c r="G151" s="64" t="n">
        <v>210</v>
      </c>
      <c r="H151" s="64" t="n">
        <v>1600</v>
      </c>
      <c r="I151" s="64" t="n">
        <v>17</v>
      </c>
      <c r="J151" s="65">
        <f>100-I151</f>
        <v/>
      </c>
      <c r="K151" s="65" t="n">
        <v>40</v>
      </c>
      <c r="L151" s="66">
        <f>ROUND((G151/MAX($G$5:$G$271)*100*0.4)+(J151*0.35)+(K151*0.25),1)</f>
        <v/>
      </c>
      <c r="M151" s="63">
        <f>IF(L151&gt;=62,"1 - Do now",IF(L151&gt;=52,"2 - Next",IF(L151&gt;=44,"3 - Later","4 - Backlog")))</f>
        <v/>
      </c>
      <c r="N151" s="63" t="inlineStr">
        <is>
          <t>/blog/what-is-baling-press</t>
        </is>
      </c>
    </row>
    <row r="152" ht="15" customHeight="1" s="54">
      <c r="A152" s="67" t="n">
        <v>148</v>
      </c>
      <c r="B152" s="67" t="inlineStr">
        <is>
          <t>how to choose a scrap baler</t>
        </is>
      </c>
      <c r="C152" s="67" t="inlineStr">
        <is>
          <t>Informational</t>
        </is>
      </c>
      <c r="D152" s="67" t="inlineStr">
        <is>
          <t>Education</t>
        </is>
      </c>
      <c r="E152" s="67" t="inlineStr">
        <is>
          <t>Informational</t>
        </is>
      </c>
      <c r="F152" s="67" t="inlineStr">
        <is>
          <t>All</t>
        </is>
      </c>
      <c r="G152" s="68" t="n">
        <v>140</v>
      </c>
      <c r="H152" s="68" t="n">
        <v>880</v>
      </c>
      <c r="I152" s="68" t="n">
        <v>15</v>
      </c>
      <c r="J152" s="69">
        <f>100-I152</f>
        <v/>
      </c>
      <c r="K152" s="69" t="n">
        <v>40</v>
      </c>
      <c r="L152" s="70">
        <f>ROUND((G152/MAX($G$5:$G$271)*100*0.4)+(J152*0.35)+(K152*0.25),1)</f>
        <v/>
      </c>
      <c r="M152" s="67">
        <f>IF(L152&gt;=62,"1 - Do now",IF(L152&gt;=52,"2 - Next",IF(L152&gt;=44,"3 - Later","4 - Backlog")))</f>
        <v/>
      </c>
      <c r="N152" s="67" t="inlineStr">
        <is>
          <t>/blog/how-to-choose-baler</t>
        </is>
      </c>
    </row>
    <row r="153" ht="15" customHeight="1" s="54">
      <c r="A153" s="63" t="n">
        <v>149</v>
      </c>
      <c r="B153" s="63" t="inlineStr">
        <is>
          <t>scrap yard equipment list</t>
        </is>
      </c>
      <c r="C153" s="63" t="inlineStr">
        <is>
          <t>Informational</t>
        </is>
      </c>
      <c r="D153" s="63" t="inlineStr">
        <is>
          <t>Education</t>
        </is>
      </c>
      <c r="E153" s="63" t="inlineStr">
        <is>
          <t>Informational</t>
        </is>
      </c>
      <c r="F153" s="63" t="inlineStr">
        <is>
          <t>All</t>
        </is>
      </c>
      <c r="G153" s="64" t="n">
        <v>210</v>
      </c>
      <c r="H153" s="64" t="n">
        <v>1600</v>
      </c>
      <c r="I153" s="64" t="n">
        <v>24</v>
      </c>
      <c r="J153" s="65">
        <f>100-I153</f>
        <v/>
      </c>
      <c r="K153" s="65" t="n">
        <v>40</v>
      </c>
      <c r="L153" s="66">
        <f>ROUND((G153/MAX($G$5:$G$271)*100*0.4)+(J153*0.35)+(K153*0.25),1)</f>
        <v/>
      </c>
      <c r="M153" s="63">
        <f>IF(L153&gt;=62,"1 - Do now",IF(L153&gt;=52,"2 - Next",IF(L153&gt;=44,"3 - Later","4 - Backlog")))</f>
        <v/>
      </c>
      <c r="N153" s="63" t="inlineStr">
        <is>
          <t>/blog/scrap-yard-equipment</t>
        </is>
      </c>
    </row>
    <row r="154" ht="15" customHeight="1" s="54">
      <c r="A154" s="67" t="n">
        <v>150</v>
      </c>
      <c r="B154" s="67" t="inlineStr">
        <is>
          <t>how to increase scrap value density</t>
        </is>
      </c>
      <c r="C154" s="67" t="inlineStr">
        <is>
          <t>Informational</t>
        </is>
      </c>
      <c r="D154" s="67" t="inlineStr">
        <is>
          <t>Education</t>
        </is>
      </c>
      <c r="E154" s="67" t="inlineStr">
        <is>
          <t>Informational</t>
        </is>
      </c>
      <c r="F154" s="67" t="inlineStr">
        <is>
          <t>All</t>
        </is>
      </c>
      <c r="G154" s="68" t="n">
        <v>110</v>
      </c>
      <c r="H154" s="68" t="n">
        <v>720</v>
      </c>
      <c r="I154" s="68" t="n">
        <v>17</v>
      </c>
      <c r="J154" s="69">
        <f>100-I154</f>
        <v/>
      </c>
      <c r="K154" s="69" t="n">
        <v>40</v>
      </c>
      <c r="L154" s="70">
        <f>ROUND((G154/MAX($G$5:$G$271)*100*0.4)+(J154*0.35)+(K154*0.25),1)</f>
        <v/>
      </c>
      <c r="M154" s="67">
        <f>IF(L154&gt;=62,"1 - Do now",IF(L154&gt;=52,"2 - Next",IF(L154&gt;=44,"3 - Later","4 - Backlog")))</f>
        <v/>
      </c>
      <c r="N154" s="67" t="inlineStr">
        <is>
          <t>/blog/increase-scrap-value</t>
        </is>
      </c>
    </row>
    <row r="155" ht="15" customHeight="1" s="54">
      <c r="A155" s="63" t="n">
        <v>151</v>
      </c>
      <c r="B155" s="63" t="inlineStr">
        <is>
          <t>bale density calculation formula</t>
        </is>
      </c>
      <c r="C155" s="63" t="inlineStr">
        <is>
          <t>Informational</t>
        </is>
      </c>
      <c r="D155" s="63" t="inlineStr">
        <is>
          <t>Education</t>
        </is>
      </c>
      <c r="E155" s="63" t="inlineStr">
        <is>
          <t>Informational</t>
        </is>
      </c>
      <c r="F155" s="63" t="inlineStr">
        <is>
          <t>All</t>
        </is>
      </c>
      <c r="G155" s="64" t="n">
        <v>90</v>
      </c>
      <c r="H155" s="64" t="n">
        <v>590</v>
      </c>
      <c r="I155" s="64" t="n">
        <v>13</v>
      </c>
      <c r="J155" s="65">
        <f>100-I155</f>
        <v/>
      </c>
      <c r="K155" s="65" t="n">
        <v>40</v>
      </c>
      <c r="L155" s="66">
        <f>ROUND((G155/MAX($G$5:$G$271)*100*0.4)+(J155*0.35)+(K155*0.25),1)</f>
        <v/>
      </c>
      <c r="M155" s="63">
        <f>IF(L155&gt;=62,"1 - Do now",IF(L155&gt;=52,"2 - Next",IF(L155&gt;=44,"3 - Later","4 - Backlog")))</f>
        <v/>
      </c>
      <c r="N155" s="63" t="inlineStr">
        <is>
          <t>/blog/bale-density</t>
        </is>
      </c>
    </row>
    <row r="156" ht="15" customHeight="1" s="54">
      <c r="A156" s="67" t="n">
        <v>152</v>
      </c>
      <c r="B156" s="67" t="inlineStr">
        <is>
          <t>baler maintenance checklist</t>
        </is>
      </c>
      <c r="C156" s="67" t="inlineStr">
        <is>
          <t>Informational</t>
        </is>
      </c>
      <c r="D156" s="67" t="inlineStr">
        <is>
          <t>Education</t>
        </is>
      </c>
      <c r="E156" s="67" t="inlineStr">
        <is>
          <t>Informational</t>
        </is>
      </c>
      <c r="F156" s="67" t="inlineStr">
        <is>
          <t>All</t>
        </is>
      </c>
      <c r="G156" s="68" t="n">
        <v>140</v>
      </c>
      <c r="H156" s="68" t="n">
        <v>880</v>
      </c>
      <c r="I156" s="68" t="n">
        <v>16</v>
      </c>
      <c r="J156" s="69">
        <f>100-I156</f>
        <v/>
      </c>
      <c r="K156" s="69" t="n">
        <v>40</v>
      </c>
      <c r="L156" s="70">
        <f>ROUND((G156/MAX($G$5:$G$271)*100*0.4)+(J156*0.35)+(K156*0.25),1)</f>
        <v/>
      </c>
      <c r="M156" s="67">
        <f>IF(L156&gt;=62,"1 - Do now",IF(L156&gt;=52,"2 - Next",IF(L156&gt;=44,"3 - Later","4 - Backlog")))</f>
        <v/>
      </c>
      <c r="N156" s="67" t="inlineStr">
        <is>
          <t>/blog/baler-maintenance</t>
        </is>
      </c>
    </row>
    <row r="157" ht="15" customHeight="1" s="54">
      <c r="A157" s="63" t="n">
        <v>153</v>
      </c>
      <c r="B157" s="63" t="inlineStr">
        <is>
          <t>hardox 500 wear plate baler</t>
        </is>
      </c>
      <c r="C157" s="63" t="inlineStr">
        <is>
          <t>Informational</t>
        </is>
      </c>
      <c r="D157" s="63" t="inlineStr">
        <is>
          <t>Education</t>
        </is>
      </c>
      <c r="E157" s="63" t="inlineStr">
        <is>
          <t>Informational</t>
        </is>
      </c>
      <c r="F157" s="63" t="inlineStr">
        <is>
          <t>All</t>
        </is>
      </c>
      <c r="G157" s="64" t="n">
        <v>70</v>
      </c>
      <c r="H157" s="64" t="n">
        <v>320</v>
      </c>
      <c r="I157" s="64" t="n">
        <v>15</v>
      </c>
      <c r="J157" s="65">
        <f>100-I157</f>
        <v/>
      </c>
      <c r="K157" s="65" t="n">
        <v>40</v>
      </c>
      <c r="L157" s="66">
        <f>ROUND((G157/MAX($G$5:$G$271)*100*0.4)+(J157*0.35)+(K157*0.25),1)</f>
        <v/>
      </c>
      <c r="M157" s="63">
        <f>IF(L157&gt;=62,"1 - Do now",IF(L157&gt;=52,"2 - Next",IF(L157&gt;=44,"3 - Later","4 - Backlog")))</f>
        <v/>
      </c>
      <c r="N157" s="63" t="inlineStr">
        <is>
          <t>/blog/hardox-in-balers</t>
        </is>
      </c>
    </row>
    <row r="158" ht="15" customHeight="1" s="54">
      <c r="A158" s="67" t="n">
        <v>154</v>
      </c>
      <c r="B158" s="67" t="inlineStr">
        <is>
          <t>baler cycle time explained</t>
        </is>
      </c>
      <c r="C158" s="67" t="inlineStr">
        <is>
          <t>Informational</t>
        </is>
      </c>
      <c r="D158" s="67" t="inlineStr">
        <is>
          <t>Education</t>
        </is>
      </c>
      <c r="E158" s="67" t="inlineStr">
        <is>
          <t>Informational</t>
        </is>
      </c>
      <c r="F158" s="67" t="inlineStr">
        <is>
          <t>All</t>
        </is>
      </c>
      <c r="G158" s="68" t="n">
        <v>50</v>
      </c>
      <c r="H158" s="68" t="n">
        <v>390</v>
      </c>
      <c r="I158" s="68" t="n">
        <v>12</v>
      </c>
      <c r="J158" s="69">
        <f>100-I158</f>
        <v/>
      </c>
      <c r="K158" s="69" t="n">
        <v>40</v>
      </c>
      <c r="L158" s="70">
        <f>ROUND((G158/MAX($G$5:$G$271)*100*0.4)+(J158*0.35)+(K158*0.25),1)</f>
        <v/>
      </c>
      <c r="M158" s="67">
        <f>IF(L158&gt;=62,"1 - Do now",IF(L158&gt;=52,"2 - Next",IF(L158&gt;=44,"3 - Later","4 - Backlog")))</f>
        <v/>
      </c>
      <c r="N158" s="67" t="inlineStr">
        <is>
          <t>/blog/cycle-time</t>
        </is>
      </c>
    </row>
    <row r="159" ht="15" customHeight="1" s="54">
      <c r="A159" s="63" t="n">
        <v>155</v>
      </c>
      <c r="B159" s="63" t="inlineStr">
        <is>
          <t>hydraulic baler troubleshooting guide</t>
        </is>
      </c>
      <c r="C159" s="63" t="inlineStr">
        <is>
          <t>Informational</t>
        </is>
      </c>
      <c r="D159" s="63" t="inlineStr">
        <is>
          <t>Education</t>
        </is>
      </c>
      <c r="E159" s="63" t="inlineStr">
        <is>
          <t>Informational</t>
        </is>
      </c>
      <c r="F159" s="63" t="inlineStr">
        <is>
          <t>All</t>
        </is>
      </c>
      <c r="G159" s="64" t="n">
        <v>110</v>
      </c>
      <c r="H159" s="64" t="n">
        <v>720</v>
      </c>
      <c r="I159" s="64" t="n">
        <v>16</v>
      </c>
      <c r="J159" s="65">
        <f>100-I159</f>
        <v/>
      </c>
      <c r="K159" s="65" t="n">
        <v>40</v>
      </c>
      <c r="L159" s="66">
        <f>ROUND((G159/MAX($G$5:$G$271)*100*0.4)+(J159*0.35)+(K159*0.25),1)</f>
        <v/>
      </c>
      <c r="M159" s="63">
        <f>IF(L159&gt;=62,"1 - Do now",IF(L159&gt;=52,"2 - Next",IF(L159&gt;=44,"3 - Later","4 - Backlog")))</f>
        <v/>
      </c>
      <c r="N159" s="63" t="inlineStr">
        <is>
          <t>/blog/baler-troubleshooting</t>
        </is>
      </c>
    </row>
    <row r="160" ht="15" customHeight="1" s="54">
      <c r="A160" s="67" t="n">
        <v>156</v>
      </c>
      <c r="B160" s="67" t="inlineStr">
        <is>
          <t>baler safety standards india</t>
        </is>
      </c>
      <c r="C160" s="67" t="inlineStr">
        <is>
          <t>Informational</t>
        </is>
      </c>
      <c r="D160" s="67" t="inlineStr">
        <is>
          <t>Education</t>
        </is>
      </c>
      <c r="E160" s="67" t="inlineStr">
        <is>
          <t>Informational</t>
        </is>
      </c>
      <c r="F160" s="67" t="inlineStr">
        <is>
          <t>India</t>
        </is>
      </c>
      <c r="G160" s="68" t="n">
        <v>90</v>
      </c>
      <c r="H160" s="68" t="n">
        <v>210</v>
      </c>
      <c r="I160" s="68" t="n">
        <v>14</v>
      </c>
      <c r="J160" s="69">
        <f>100-I160</f>
        <v/>
      </c>
      <c r="K160" s="69" t="n">
        <v>40</v>
      </c>
      <c r="L160" s="70">
        <f>ROUND((G160/MAX($G$5:$G$271)*100*0.4)+(J160*0.35)+(K160*0.25),1)</f>
        <v/>
      </c>
      <c r="M160" s="67">
        <f>IF(L160&gt;=62,"1 - Do now",IF(L160&gt;=52,"2 - Next",IF(L160&gt;=44,"3 - Later","4 - Backlog")))</f>
        <v/>
      </c>
      <c r="N160" s="67" t="inlineStr">
        <is>
          <t>/blog/baler-safety</t>
        </is>
      </c>
    </row>
    <row r="161" ht="15" customHeight="1" s="54">
      <c r="A161" s="63" t="n">
        <v>157</v>
      </c>
      <c r="B161" s="63" t="inlineStr">
        <is>
          <t>how much scrap can a baler process per hour</t>
        </is>
      </c>
      <c r="C161" s="63" t="inlineStr">
        <is>
          <t>Informational</t>
        </is>
      </c>
      <c r="D161" s="63" t="inlineStr">
        <is>
          <t>Education</t>
        </is>
      </c>
      <c r="E161" s="63" t="inlineStr">
        <is>
          <t>Informational</t>
        </is>
      </c>
      <c r="F161" s="63" t="inlineStr">
        <is>
          <t>All</t>
        </is>
      </c>
      <c r="G161" s="64" t="n">
        <v>70</v>
      </c>
      <c r="H161" s="64" t="n">
        <v>480</v>
      </c>
      <c r="I161" s="64" t="n">
        <v>13</v>
      </c>
      <c r="J161" s="65">
        <f>100-I161</f>
        <v/>
      </c>
      <c r="K161" s="65" t="n">
        <v>40</v>
      </c>
      <c r="L161" s="66">
        <f>ROUND((G161/MAX($G$5:$G$271)*100*0.4)+(J161*0.35)+(K161*0.25),1)</f>
        <v/>
      </c>
      <c r="M161" s="63">
        <f>IF(L161&gt;=62,"1 - Do now",IF(L161&gt;=52,"2 - Next",IF(L161&gt;=44,"3 - Later","4 - Backlog")))</f>
        <v/>
      </c>
      <c r="N161" s="63" t="inlineStr">
        <is>
          <t>/blog/baler-throughput</t>
        </is>
      </c>
    </row>
    <row r="162" ht="15" customHeight="1" s="54">
      <c r="A162" s="67" t="n">
        <v>158</v>
      </c>
      <c r="B162" s="67" t="inlineStr">
        <is>
          <t>civil foundation requirement for baling press</t>
        </is>
      </c>
      <c r="C162" s="67" t="inlineStr">
        <is>
          <t>Informational</t>
        </is>
      </c>
      <c r="D162" s="67" t="inlineStr">
        <is>
          <t>Education</t>
        </is>
      </c>
      <c r="E162" s="67" t="inlineStr">
        <is>
          <t>Informational</t>
        </is>
      </c>
      <c r="F162" s="67" t="inlineStr">
        <is>
          <t>India</t>
        </is>
      </c>
      <c r="G162" s="68" t="n">
        <v>50</v>
      </c>
      <c r="H162" s="68" t="n">
        <v>90</v>
      </c>
      <c r="I162" s="68" t="n">
        <v>9</v>
      </c>
      <c r="J162" s="69">
        <f>100-I162</f>
        <v/>
      </c>
      <c r="K162" s="69" t="n">
        <v>40</v>
      </c>
      <c r="L162" s="70">
        <f>ROUND((G162/MAX($G$5:$G$271)*100*0.4)+(J162*0.35)+(K162*0.25),1)</f>
        <v/>
      </c>
      <c r="M162" s="67">
        <f>IF(L162&gt;=62,"1 - Do now",IF(L162&gt;=52,"2 - Next",IF(L162&gt;=44,"3 - Later","4 - Backlog")))</f>
        <v/>
      </c>
      <c r="N162" s="67" t="inlineStr">
        <is>
          <t>/blog/baler-foundation</t>
        </is>
      </c>
    </row>
    <row r="163" ht="15" customHeight="1" s="54">
      <c r="A163" s="63" t="n">
        <v>159</v>
      </c>
      <c r="B163" s="63" t="inlineStr">
        <is>
          <t>what is bale weight and why it matters</t>
        </is>
      </c>
      <c r="C163" s="63" t="inlineStr">
        <is>
          <t>Informational</t>
        </is>
      </c>
      <c r="D163" s="63" t="inlineStr">
        <is>
          <t>Education</t>
        </is>
      </c>
      <c r="E163" s="63" t="inlineStr">
        <is>
          <t>Informational</t>
        </is>
      </c>
      <c r="F163" s="63" t="inlineStr">
        <is>
          <t>All</t>
        </is>
      </c>
      <c r="G163" s="64" t="n">
        <v>40</v>
      </c>
      <c r="H163" s="64" t="n">
        <v>260</v>
      </c>
      <c r="I163" s="64" t="n">
        <v>10</v>
      </c>
      <c r="J163" s="65">
        <f>100-I163</f>
        <v/>
      </c>
      <c r="K163" s="65" t="n">
        <v>40</v>
      </c>
      <c r="L163" s="66">
        <f>ROUND((G163/MAX($G$5:$G$271)*100*0.4)+(J163*0.35)+(K163*0.25),1)</f>
        <v/>
      </c>
      <c r="M163" s="63">
        <f>IF(L163&gt;=62,"1 - Do now",IF(L163&gt;=52,"2 - Next",IF(L163&gt;=44,"3 - Later","4 - Backlog")))</f>
        <v/>
      </c>
      <c r="N163" s="63" t="inlineStr">
        <is>
          <t>/blog/bale-weight</t>
        </is>
      </c>
    </row>
    <row r="164" ht="15" customHeight="1" s="54">
      <c r="A164" s="67" t="n">
        <v>160</v>
      </c>
      <c r="B164" s="67" t="inlineStr">
        <is>
          <t>hydraulic vs mechanical baling press</t>
        </is>
      </c>
      <c r="C164" s="67" t="inlineStr">
        <is>
          <t>Informational</t>
        </is>
      </c>
      <c r="D164" s="67" t="inlineStr">
        <is>
          <t>Education</t>
        </is>
      </c>
      <c r="E164" s="67" t="inlineStr">
        <is>
          <t>Informational</t>
        </is>
      </c>
      <c r="F164" s="67" t="inlineStr">
        <is>
          <t>All</t>
        </is>
      </c>
      <c r="G164" s="68" t="n">
        <v>70</v>
      </c>
      <c r="H164" s="68" t="n">
        <v>480</v>
      </c>
      <c r="I164" s="68" t="n">
        <v>14</v>
      </c>
      <c r="J164" s="69">
        <f>100-I164</f>
        <v/>
      </c>
      <c r="K164" s="69" t="n">
        <v>40</v>
      </c>
      <c r="L164" s="70">
        <f>ROUND((G164/MAX($G$5:$G$271)*100*0.4)+(J164*0.35)+(K164*0.25),1)</f>
        <v/>
      </c>
      <c r="M164" s="67">
        <f>IF(L164&gt;=62,"1 - Do now",IF(L164&gt;=52,"2 - Next",IF(L164&gt;=44,"3 - Later","4 - Backlog")))</f>
        <v/>
      </c>
      <c r="N164" s="67" t="inlineStr">
        <is>
          <t>/blog/hydraulic-vs-mechanical</t>
        </is>
      </c>
    </row>
    <row r="165" ht="15" customHeight="1" s="54">
      <c r="A165" s="63" t="n">
        <v>161</v>
      </c>
      <c r="B165" s="63" t="inlineStr">
        <is>
          <t>scrap metal grades explained india</t>
        </is>
      </c>
      <c r="C165" s="63" t="inlineStr">
        <is>
          <t>Informational</t>
        </is>
      </c>
      <c r="D165" s="63" t="inlineStr">
        <is>
          <t>Education</t>
        </is>
      </c>
      <c r="E165" s="63" t="inlineStr">
        <is>
          <t>Informational</t>
        </is>
      </c>
      <c r="F165" s="63" t="inlineStr">
        <is>
          <t>India</t>
        </is>
      </c>
      <c r="G165" s="64" t="n">
        <v>480</v>
      </c>
      <c r="H165" s="64" t="n">
        <v>880</v>
      </c>
      <c r="I165" s="64" t="n">
        <v>28</v>
      </c>
      <c r="J165" s="65">
        <f>100-I165</f>
        <v/>
      </c>
      <c r="K165" s="65" t="n">
        <v>40</v>
      </c>
      <c r="L165" s="66">
        <f>ROUND((G165/MAX($G$5:$G$271)*100*0.4)+(J165*0.35)+(K165*0.25),1)</f>
        <v/>
      </c>
      <c r="M165" s="63">
        <f>IF(L165&gt;=62,"1 - Do now",IF(L165&gt;=52,"2 - Next",IF(L165&gt;=44,"3 - Later","4 - Backlog")))</f>
        <v/>
      </c>
      <c r="N165" s="63" t="inlineStr">
        <is>
          <t>/blog/scrap-grades</t>
        </is>
      </c>
    </row>
    <row r="166" ht="15" customHeight="1" s="54">
      <c r="A166" s="67" t="n">
        <v>162</v>
      </c>
      <c r="B166" s="67" t="inlineStr">
        <is>
          <t>how to set up a scrap yard in india</t>
        </is>
      </c>
      <c r="C166" s="67" t="inlineStr">
        <is>
          <t>Informational</t>
        </is>
      </c>
      <c r="D166" s="67" t="inlineStr">
        <is>
          <t>Education</t>
        </is>
      </c>
      <c r="E166" s="67" t="inlineStr">
        <is>
          <t>Informational</t>
        </is>
      </c>
      <c r="F166" s="67" t="inlineStr">
        <is>
          <t>India</t>
        </is>
      </c>
      <c r="G166" s="68" t="n">
        <v>720</v>
      </c>
      <c r="H166" s="68" t="n">
        <v>880</v>
      </c>
      <c r="I166" s="68" t="n">
        <v>30</v>
      </c>
      <c r="J166" s="69">
        <f>100-I166</f>
        <v/>
      </c>
      <c r="K166" s="69" t="n">
        <v>40</v>
      </c>
      <c r="L166" s="70">
        <f>ROUND((G166/MAX($G$5:$G$271)*100*0.4)+(J166*0.35)+(K166*0.25),1)</f>
        <v/>
      </c>
      <c r="M166" s="67">
        <f>IF(L166&gt;=62,"1 - Do now",IF(L166&gt;=52,"2 - Next",IF(L166&gt;=44,"3 - Later","4 - Backlog")))</f>
        <v/>
      </c>
      <c r="N166" s="67" t="inlineStr">
        <is>
          <t>/blog/setup-scrap-yard</t>
        </is>
      </c>
    </row>
    <row r="167" ht="15" customHeight="1" s="54">
      <c r="A167" s="63" t="n">
        <v>163</v>
      </c>
      <c r="B167" s="63" t="inlineStr">
        <is>
          <t>scrap business profit margin india</t>
        </is>
      </c>
      <c r="C167" s="63" t="inlineStr">
        <is>
          <t>Informational</t>
        </is>
      </c>
      <c r="D167" s="63" t="inlineStr">
        <is>
          <t>Education</t>
        </is>
      </c>
      <c r="E167" s="63" t="inlineStr">
        <is>
          <t>Informational</t>
        </is>
      </c>
      <c r="F167" s="63" t="inlineStr">
        <is>
          <t>India</t>
        </is>
      </c>
      <c r="G167" s="64" t="n">
        <v>880</v>
      </c>
      <c r="H167" s="64" t="n">
        <v>1000</v>
      </c>
      <c r="I167" s="64" t="n">
        <v>33</v>
      </c>
      <c r="J167" s="65">
        <f>100-I167</f>
        <v/>
      </c>
      <c r="K167" s="65" t="n">
        <v>40</v>
      </c>
      <c r="L167" s="66">
        <f>ROUND((G167/MAX($G$5:$G$271)*100*0.4)+(J167*0.35)+(K167*0.25),1)</f>
        <v/>
      </c>
      <c r="M167" s="63">
        <f>IF(L167&gt;=62,"1 - Do now",IF(L167&gt;=52,"2 - Next",IF(L167&gt;=44,"3 - Later","4 - Backlog")))</f>
        <v/>
      </c>
      <c r="N167" s="63" t="inlineStr">
        <is>
          <t>/blog/scrap-business-profit</t>
        </is>
      </c>
    </row>
    <row r="168" ht="15" customHeight="1" s="54">
      <c r="A168" s="67" t="n">
        <v>164</v>
      </c>
      <c r="B168" s="67" t="inlineStr">
        <is>
          <t>gst rate on scrap metal india</t>
        </is>
      </c>
      <c r="C168" s="67" t="inlineStr">
        <is>
          <t>Informational</t>
        </is>
      </c>
      <c r="D168" s="67" t="inlineStr">
        <is>
          <t>Education</t>
        </is>
      </c>
      <c r="E168" s="67" t="inlineStr">
        <is>
          <t>Informational</t>
        </is>
      </c>
      <c r="F168" s="67" t="inlineStr">
        <is>
          <t>India</t>
        </is>
      </c>
      <c r="G168" s="68" t="n">
        <v>1900</v>
      </c>
      <c r="H168" s="68" t="n">
        <v>2200</v>
      </c>
      <c r="I168" s="68" t="n">
        <v>40</v>
      </c>
      <c r="J168" s="69">
        <f>100-I168</f>
        <v/>
      </c>
      <c r="K168" s="69" t="n">
        <v>40</v>
      </c>
      <c r="L168" s="70">
        <f>ROUND((G168/MAX($G$5:$G$271)*100*0.4)+(J168*0.35)+(K168*0.25),1)</f>
        <v/>
      </c>
      <c r="M168" s="67">
        <f>IF(L168&gt;=62,"1 - Do now",IF(L168&gt;=52,"2 - Next",IF(L168&gt;=44,"3 - Later","4 - Backlog")))</f>
        <v/>
      </c>
      <c r="N168" s="67" t="inlineStr">
        <is>
          <t>/blog/scrap-gst</t>
        </is>
      </c>
    </row>
    <row r="169" ht="15" customHeight="1" s="54">
      <c r="A169" s="63" t="n">
        <v>165</v>
      </c>
      <c r="B169" s="63" t="inlineStr">
        <is>
          <t>baler vs shredder which to choose</t>
        </is>
      </c>
      <c r="C169" s="63" t="inlineStr">
        <is>
          <t>Informational</t>
        </is>
      </c>
      <c r="D169" s="63" t="inlineStr">
        <is>
          <t>Comparison</t>
        </is>
      </c>
      <c r="E169" s="63" t="inlineStr">
        <is>
          <t>Informational</t>
        </is>
      </c>
      <c r="F169" s="63" t="inlineStr">
        <is>
          <t>All</t>
        </is>
      </c>
      <c r="G169" s="64" t="n">
        <v>90</v>
      </c>
      <c r="H169" s="64" t="n">
        <v>480</v>
      </c>
      <c r="I169" s="64" t="n">
        <v>14</v>
      </c>
      <c r="J169" s="65">
        <f>100-I169</f>
        <v/>
      </c>
      <c r="K169" s="65" t="n">
        <v>40</v>
      </c>
      <c r="L169" s="66">
        <f>ROUND((G169/MAX($G$5:$G$271)*100*0.4)+(J169*0.35)+(K169*0.25),1)</f>
        <v/>
      </c>
      <c r="M169" s="63">
        <f>IF(L169&gt;=62,"1 - Do now",IF(L169&gt;=52,"2 - Next",IF(L169&gt;=44,"3 - Later","4 - Backlog")))</f>
        <v/>
      </c>
      <c r="N169" s="63" t="inlineStr">
        <is>
          <t>/blog/baler-vs-shredder</t>
        </is>
      </c>
    </row>
    <row r="170" ht="15" customHeight="1" s="54">
      <c r="A170" s="67" t="n">
        <v>166</v>
      </c>
      <c r="B170" s="67" t="inlineStr">
        <is>
          <t>triple action vs double action baler</t>
        </is>
      </c>
      <c r="C170" s="67" t="inlineStr">
        <is>
          <t>Informational</t>
        </is>
      </c>
      <c r="D170" s="67" t="inlineStr">
        <is>
          <t>Comparison</t>
        </is>
      </c>
      <c r="E170" s="67" t="inlineStr">
        <is>
          <t>Informational</t>
        </is>
      </c>
      <c r="F170" s="67" t="inlineStr">
        <is>
          <t>All</t>
        </is>
      </c>
      <c r="G170" s="68" t="n">
        <v>70</v>
      </c>
      <c r="H170" s="68" t="n">
        <v>140</v>
      </c>
      <c r="I170" s="68" t="n">
        <v>10</v>
      </c>
      <c r="J170" s="69">
        <f>100-I170</f>
        <v/>
      </c>
      <c r="K170" s="69" t="n">
        <v>40</v>
      </c>
      <c r="L170" s="70">
        <f>ROUND((G170/MAX($G$5:$G$271)*100*0.4)+(J170*0.35)+(K170*0.25),1)</f>
        <v/>
      </c>
      <c r="M170" s="67">
        <f>IF(L170&gt;=62,"1 - Do now",IF(L170&gt;=52,"2 - Next",IF(L170&gt;=44,"3 - Later","4 - Backlog")))</f>
        <v/>
      </c>
      <c r="N170" s="67" t="inlineStr">
        <is>
          <t>/blog/triple-vs-double-action</t>
        </is>
      </c>
    </row>
    <row r="171" ht="15" customHeight="1" s="54">
      <c r="A171" s="63" t="n">
        <v>167</v>
      </c>
      <c r="B171" s="63" t="inlineStr">
        <is>
          <t>vertical vs horizontal baler</t>
        </is>
      </c>
      <c r="C171" s="63" t="inlineStr">
        <is>
          <t>Informational</t>
        </is>
      </c>
      <c r="D171" s="63" t="inlineStr">
        <is>
          <t>Comparison</t>
        </is>
      </c>
      <c r="E171" s="63" t="inlineStr">
        <is>
          <t>Informational</t>
        </is>
      </c>
      <c r="F171" s="63" t="inlineStr">
        <is>
          <t>All</t>
        </is>
      </c>
      <c r="G171" s="64" t="n">
        <v>110</v>
      </c>
      <c r="H171" s="64" t="n">
        <v>1300</v>
      </c>
      <c r="I171" s="64" t="n">
        <v>19</v>
      </c>
      <c r="J171" s="65">
        <f>100-I171</f>
        <v/>
      </c>
      <c r="K171" s="65" t="n">
        <v>40</v>
      </c>
      <c r="L171" s="66">
        <f>ROUND((G171/MAX($G$5:$G$271)*100*0.4)+(J171*0.35)+(K171*0.25),1)</f>
        <v/>
      </c>
      <c r="M171" s="63">
        <f>IF(L171&gt;=62,"1 - Do now",IF(L171&gt;=52,"2 - Next",IF(L171&gt;=44,"3 - Later","4 - Backlog")))</f>
        <v/>
      </c>
      <c r="N171" s="63" t="inlineStr">
        <is>
          <t>/blog/vertical-vs-horizontal</t>
        </is>
      </c>
    </row>
    <row r="172" ht="15" customHeight="1" s="54">
      <c r="A172" s="67" t="n">
        <v>168</v>
      </c>
      <c r="B172" s="67" t="inlineStr">
        <is>
          <t>alligator shear vs guillotine shear</t>
        </is>
      </c>
      <c r="C172" s="67" t="inlineStr">
        <is>
          <t>Informational</t>
        </is>
      </c>
      <c r="D172" s="67" t="inlineStr">
        <is>
          <t>Comparison</t>
        </is>
      </c>
      <c r="E172" s="67" t="inlineStr">
        <is>
          <t>Informational</t>
        </is>
      </c>
      <c r="F172" s="67" t="inlineStr">
        <is>
          <t>All</t>
        </is>
      </c>
      <c r="G172" s="68" t="n">
        <v>50</v>
      </c>
      <c r="H172" s="68" t="n">
        <v>390</v>
      </c>
      <c r="I172" s="68" t="n">
        <v>12</v>
      </c>
      <c r="J172" s="69">
        <f>100-I172</f>
        <v/>
      </c>
      <c r="K172" s="69" t="n">
        <v>40</v>
      </c>
      <c r="L172" s="70">
        <f>ROUND((G172/MAX($G$5:$G$271)*100*0.4)+(J172*0.35)+(K172*0.25),1)</f>
        <v/>
      </c>
      <c r="M172" s="67">
        <f>IF(L172&gt;=62,"1 - Do now",IF(L172&gt;=52,"2 - Next",IF(L172&gt;=44,"3 - Later","4 - Backlog")))</f>
        <v/>
      </c>
      <c r="N172" s="67" t="inlineStr">
        <is>
          <t>/blog/shear-comparison</t>
        </is>
      </c>
    </row>
    <row r="173" ht="15" customHeight="1" s="54">
      <c r="A173" s="63" t="n">
        <v>169</v>
      </c>
      <c r="B173" s="63" t="inlineStr">
        <is>
          <t>car baler vs car shredder</t>
        </is>
      </c>
      <c r="C173" s="63" t="inlineStr">
        <is>
          <t>Informational</t>
        </is>
      </c>
      <c r="D173" s="63" t="inlineStr">
        <is>
          <t>Comparison</t>
        </is>
      </c>
      <c r="E173" s="63" t="inlineStr">
        <is>
          <t>Informational</t>
        </is>
      </c>
      <c r="F173" s="63" t="inlineStr">
        <is>
          <t>All</t>
        </is>
      </c>
      <c r="G173" s="64" t="n">
        <v>40</v>
      </c>
      <c r="H173" s="64" t="n">
        <v>260</v>
      </c>
      <c r="I173" s="64" t="n">
        <v>11</v>
      </c>
      <c r="J173" s="65">
        <f>100-I173</f>
        <v/>
      </c>
      <c r="K173" s="65" t="n">
        <v>40</v>
      </c>
      <c r="L173" s="66">
        <f>ROUND((G173/MAX($G$5:$G$271)*100*0.4)+(J173*0.35)+(K173*0.25),1)</f>
        <v/>
      </c>
      <c r="M173" s="63">
        <f>IF(L173&gt;=62,"1 - Do now",IF(L173&gt;=52,"2 - Next",IF(L173&gt;=44,"3 - Later","4 - Backlog")))</f>
        <v/>
      </c>
      <c r="N173" s="63" t="inlineStr">
        <is>
          <t>/blog/car-baler-vs-shredder</t>
        </is>
      </c>
    </row>
    <row r="174" ht="15" customHeight="1" s="54">
      <c r="A174" s="67" t="n">
        <v>170</v>
      </c>
      <c r="B174" s="67" t="inlineStr">
        <is>
          <t>briquetting vs baling metal chips</t>
        </is>
      </c>
      <c r="C174" s="67" t="inlineStr">
        <is>
          <t>Informational</t>
        </is>
      </c>
      <c r="D174" s="67" t="inlineStr">
        <is>
          <t>Comparison</t>
        </is>
      </c>
      <c r="E174" s="67" t="inlineStr">
        <is>
          <t>Informational</t>
        </is>
      </c>
      <c r="F174" s="67" t="inlineStr">
        <is>
          <t>All</t>
        </is>
      </c>
      <c r="G174" s="68" t="n">
        <v>50</v>
      </c>
      <c r="H174" s="68" t="n">
        <v>320</v>
      </c>
      <c r="I174" s="68" t="n">
        <v>12</v>
      </c>
      <c r="J174" s="69">
        <f>100-I174</f>
        <v/>
      </c>
      <c r="K174" s="69" t="n">
        <v>40</v>
      </c>
      <c r="L174" s="70">
        <f>ROUND((G174/MAX($G$5:$G$271)*100*0.4)+(J174*0.35)+(K174*0.25),1)</f>
        <v/>
      </c>
      <c r="M174" s="67">
        <f>IF(L174&gt;=62,"1 - Do now",IF(L174&gt;=52,"2 - Next",IF(L174&gt;=44,"3 - Later","4 - Backlog")))</f>
        <v/>
      </c>
      <c r="N174" s="67" t="inlineStr">
        <is>
          <t>/blog/briquetting-vs-baling</t>
        </is>
      </c>
    </row>
    <row r="175" ht="15" customHeight="1" s="54">
      <c r="A175" s="63" t="n">
        <v>171</v>
      </c>
      <c r="B175" s="63" t="inlineStr">
        <is>
          <t>new vs used baling press machine</t>
        </is>
      </c>
      <c r="C175" s="63" t="inlineStr">
        <is>
          <t>Informational</t>
        </is>
      </c>
      <c r="D175" s="63" t="inlineStr">
        <is>
          <t>Comparison</t>
        </is>
      </c>
      <c r="E175" s="63" t="inlineStr">
        <is>
          <t>Informational</t>
        </is>
      </c>
      <c r="F175" s="63" t="inlineStr">
        <is>
          <t>All</t>
        </is>
      </c>
      <c r="G175" s="64" t="n">
        <v>90</v>
      </c>
      <c r="H175" s="64" t="n">
        <v>320</v>
      </c>
      <c r="I175" s="64" t="n">
        <v>14</v>
      </c>
      <c r="J175" s="65">
        <f>100-I175</f>
        <v/>
      </c>
      <c r="K175" s="65" t="n">
        <v>40</v>
      </c>
      <c r="L175" s="66">
        <f>ROUND((G175/MAX($G$5:$G$271)*100*0.4)+(J175*0.35)+(K175*0.25),1)</f>
        <v/>
      </c>
      <c r="M175" s="63">
        <f>IF(L175&gt;=62,"1 - Do now",IF(L175&gt;=52,"2 - Next",IF(L175&gt;=44,"3 - Later","4 - Backlog")))</f>
        <v/>
      </c>
      <c r="N175" s="63" t="inlineStr">
        <is>
          <t>/blog/used-vs-new-baler</t>
        </is>
      </c>
    </row>
    <row r="176" ht="15" customHeight="1" s="54">
      <c r="A176" s="67" t="n">
        <v>172</v>
      </c>
      <c r="B176" s="67" t="inlineStr">
        <is>
          <t>indian vs chinese baling press quality</t>
        </is>
      </c>
      <c r="C176" s="67" t="inlineStr">
        <is>
          <t>Informational</t>
        </is>
      </c>
      <c r="D176" s="67" t="inlineStr">
        <is>
          <t>Comparison</t>
        </is>
      </c>
      <c r="E176" s="67" t="inlineStr">
        <is>
          <t>Commercial</t>
        </is>
      </c>
      <c r="F176" s="67" t="inlineStr">
        <is>
          <t>India+Export</t>
        </is>
      </c>
      <c r="G176" s="68" t="n">
        <v>70</v>
      </c>
      <c r="H176" s="68" t="n">
        <v>210</v>
      </c>
      <c r="I176" s="68" t="n">
        <v>16</v>
      </c>
      <c r="J176" s="69">
        <f>100-I176</f>
        <v/>
      </c>
      <c r="K176" s="69" t="n">
        <v>75</v>
      </c>
      <c r="L176" s="70">
        <f>ROUND((G176/MAX($G$5:$G$271)*100*0.4)+(J176*0.35)+(K176*0.25),1)</f>
        <v/>
      </c>
      <c r="M176" s="67">
        <f>IF(L176&gt;=62,"1 - Do now",IF(L176&gt;=52,"2 - Next",IF(L176&gt;=44,"3 - Later","4 - Backlog")))</f>
        <v/>
      </c>
      <c r="N176" s="67" t="inlineStr">
        <is>
          <t>/blog/india-vs-china-balers</t>
        </is>
      </c>
    </row>
    <row r="177" ht="15" customHeight="1" s="54">
      <c r="A177" s="63" t="n">
        <v>173</v>
      </c>
      <c r="B177" s="63" t="inlineStr">
        <is>
          <t>circular economy metal recycling india</t>
        </is>
      </c>
      <c r="C177" s="63" t="inlineStr">
        <is>
          <t>Thought Leadership</t>
        </is>
      </c>
      <c r="D177" s="63" t="inlineStr">
        <is>
          <t>Policy</t>
        </is>
      </c>
      <c r="E177" s="63" t="inlineStr">
        <is>
          <t>Informational</t>
        </is>
      </c>
      <c r="F177" s="63" t="inlineStr">
        <is>
          <t>All</t>
        </is>
      </c>
      <c r="G177" s="64" t="n">
        <v>480</v>
      </c>
      <c r="H177" s="64" t="n">
        <v>1900</v>
      </c>
      <c r="I177" s="64" t="n">
        <v>38</v>
      </c>
      <c r="J177" s="65">
        <f>100-I177</f>
        <v/>
      </c>
      <c r="K177" s="65" t="n">
        <v>40</v>
      </c>
      <c r="L177" s="66">
        <f>ROUND((G177/MAX($G$5:$G$271)*100*0.4)+(J177*0.35)+(K177*0.25),1)</f>
        <v/>
      </c>
      <c r="M177" s="63">
        <f>IF(L177&gt;=62,"1 - Do now",IF(L177&gt;=52,"2 - Next",IF(L177&gt;=44,"3 - Later","4 - Backlog")))</f>
        <v/>
      </c>
      <c r="N177" s="63" t="inlineStr">
        <is>
          <t>/blog/circular-economy-india</t>
        </is>
      </c>
    </row>
    <row r="178" ht="15" customHeight="1" s="54">
      <c r="A178" s="67" t="n">
        <v>174</v>
      </c>
      <c r="B178" s="67" t="inlineStr">
        <is>
          <t>steel scrap recycling policy india</t>
        </is>
      </c>
      <c r="C178" s="67" t="inlineStr">
        <is>
          <t>Thought Leadership</t>
        </is>
      </c>
      <c r="D178" s="67" t="inlineStr">
        <is>
          <t>Policy</t>
        </is>
      </c>
      <c r="E178" s="67" t="inlineStr">
        <is>
          <t>Informational</t>
        </is>
      </c>
      <c r="F178" s="67" t="inlineStr">
        <is>
          <t>India</t>
        </is>
      </c>
      <c r="G178" s="68" t="n">
        <v>880</v>
      </c>
      <c r="H178" s="68" t="n">
        <v>1100</v>
      </c>
      <c r="I178" s="68" t="n">
        <v>36</v>
      </c>
      <c r="J178" s="69">
        <f>100-I178</f>
        <v/>
      </c>
      <c r="K178" s="69" t="n">
        <v>40</v>
      </c>
      <c r="L178" s="70">
        <f>ROUND((G178/MAX($G$5:$G$271)*100*0.4)+(J178*0.35)+(K178*0.25),1)</f>
        <v/>
      </c>
      <c r="M178" s="67">
        <f>IF(L178&gt;=62,"1 - Do now",IF(L178&gt;=52,"2 - Next",IF(L178&gt;=44,"3 - Later","4 - Backlog")))</f>
        <v/>
      </c>
      <c r="N178" s="67" t="inlineStr">
        <is>
          <t>/blog/steel-scrap-policy</t>
        </is>
      </c>
    </row>
    <row r="179" ht="15" customHeight="1" s="54">
      <c r="A179" s="63" t="n">
        <v>175</v>
      </c>
      <c r="B179" s="63" t="inlineStr">
        <is>
          <t>national steel scrap recycling policy</t>
        </is>
      </c>
      <c r="C179" s="63" t="inlineStr">
        <is>
          <t>Thought Leadership</t>
        </is>
      </c>
      <c r="D179" s="63" t="inlineStr">
        <is>
          <t>Policy</t>
        </is>
      </c>
      <c r="E179" s="63" t="inlineStr">
        <is>
          <t>Informational</t>
        </is>
      </c>
      <c r="F179" s="63" t="inlineStr">
        <is>
          <t>India</t>
        </is>
      </c>
      <c r="G179" s="64" t="n">
        <v>590</v>
      </c>
      <c r="H179" s="64" t="n">
        <v>720</v>
      </c>
      <c r="I179" s="64" t="n">
        <v>32</v>
      </c>
      <c r="J179" s="65">
        <f>100-I179</f>
        <v/>
      </c>
      <c r="K179" s="65" t="n">
        <v>40</v>
      </c>
      <c r="L179" s="66">
        <f>ROUND((G179/MAX($G$5:$G$271)*100*0.4)+(J179*0.35)+(K179*0.25),1)</f>
        <v/>
      </c>
      <c r="M179" s="63">
        <f>IF(L179&gt;=62,"1 - Do now",IF(L179&gt;=52,"2 - Next",IF(L179&gt;=44,"3 - Later","4 - Backlog")))</f>
        <v/>
      </c>
      <c r="N179" s="63" t="inlineStr">
        <is>
          <t>/blog/steel-scrap-policy</t>
        </is>
      </c>
    </row>
    <row r="180" ht="15" customHeight="1" s="54">
      <c r="A180" s="67" t="n">
        <v>176</v>
      </c>
      <c r="B180" s="67" t="inlineStr">
        <is>
          <t>epr registration for recyclers india</t>
        </is>
      </c>
      <c r="C180" s="67" t="inlineStr">
        <is>
          <t>Thought Leadership</t>
        </is>
      </c>
      <c r="D180" s="67" t="inlineStr">
        <is>
          <t>Policy</t>
        </is>
      </c>
      <c r="E180" s="67" t="inlineStr">
        <is>
          <t>Informational</t>
        </is>
      </c>
      <c r="F180" s="67" t="inlineStr">
        <is>
          <t>India</t>
        </is>
      </c>
      <c r="G180" s="68" t="n">
        <v>1300</v>
      </c>
      <c r="H180" s="68" t="n">
        <v>1600</v>
      </c>
      <c r="I180" s="68" t="n">
        <v>40</v>
      </c>
      <c r="J180" s="69">
        <f>100-I180</f>
        <v/>
      </c>
      <c r="K180" s="69" t="n">
        <v>40</v>
      </c>
      <c r="L180" s="70">
        <f>ROUND((G180/MAX($G$5:$G$271)*100*0.4)+(J180*0.35)+(K180*0.25),1)</f>
        <v/>
      </c>
      <c r="M180" s="67">
        <f>IF(L180&gt;=62,"1 - Do now",IF(L180&gt;=52,"2 - Next",IF(L180&gt;=44,"3 - Later","4 - Backlog")))</f>
        <v/>
      </c>
      <c r="N180" s="67" t="inlineStr">
        <is>
          <t>/blog/epr-guide</t>
        </is>
      </c>
    </row>
    <row r="181" ht="15" customHeight="1" s="54">
      <c r="A181" s="63" t="n">
        <v>177</v>
      </c>
      <c r="B181" s="63" t="inlineStr">
        <is>
          <t>india scrap import regulations</t>
        </is>
      </c>
      <c r="C181" s="63" t="inlineStr">
        <is>
          <t>Thought Leadership</t>
        </is>
      </c>
      <c r="D181" s="63" t="inlineStr">
        <is>
          <t>Policy</t>
        </is>
      </c>
      <c r="E181" s="63" t="inlineStr">
        <is>
          <t>Informational</t>
        </is>
      </c>
      <c r="F181" s="63" t="inlineStr">
        <is>
          <t>India</t>
        </is>
      </c>
      <c r="G181" s="64" t="n">
        <v>590</v>
      </c>
      <c r="H181" s="64" t="n">
        <v>880</v>
      </c>
      <c r="I181" s="64" t="n">
        <v>34</v>
      </c>
      <c r="J181" s="65">
        <f>100-I181</f>
        <v/>
      </c>
      <c r="K181" s="65" t="n">
        <v>40</v>
      </c>
      <c r="L181" s="66">
        <f>ROUND((G181/MAX($G$5:$G$271)*100*0.4)+(J181*0.35)+(K181*0.25),1)</f>
        <v/>
      </c>
      <c r="M181" s="63">
        <f>IF(L181&gt;=62,"1 - Do now",IF(L181&gt;=52,"2 - Next",IF(L181&gt;=44,"3 - Later","4 - Backlog")))</f>
        <v/>
      </c>
      <c r="N181" s="63" t="inlineStr">
        <is>
          <t>/blog/scrap-import-rules</t>
        </is>
      </c>
    </row>
    <row r="182" ht="15" customHeight="1" s="54">
      <c r="A182" s="67" t="n">
        <v>178</v>
      </c>
      <c r="B182" s="67" t="inlineStr">
        <is>
          <t>carbon footprint of metal recycling</t>
        </is>
      </c>
      <c r="C182" s="67" t="inlineStr">
        <is>
          <t>Thought Leadership</t>
        </is>
      </c>
      <c r="D182" s="67" t="inlineStr">
        <is>
          <t>Policy</t>
        </is>
      </c>
      <c r="E182" s="67" t="inlineStr">
        <is>
          <t>Informational</t>
        </is>
      </c>
      <c r="F182" s="67" t="inlineStr">
        <is>
          <t>All</t>
        </is>
      </c>
      <c r="G182" s="68" t="n">
        <v>320</v>
      </c>
      <c r="H182" s="68" t="n">
        <v>2400</v>
      </c>
      <c r="I182" s="68" t="n">
        <v>35</v>
      </c>
      <c r="J182" s="69">
        <f>100-I182</f>
        <v/>
      </c>
      <c r="K182" s="69" t="n">
        <v>40</v>
      </c>
      <c r="L182" s="70">
        <f>ROUND((G182/MAX($G$5:$G$271)*100*0.4)+(J182*0.35)+(K182*0.25),1)</f>
        <v/>
      </c>
      <c r="M182" s="67">
        <f>IF(L182&gt;=62,"1 - Do now",IF(L182&gt;=52,"2 - Next",IF(L182&gt;=44,"3 - Later","4 - Backlog")))</f>
        <v/>
      </c>
      <c r="N182" s="67" t="inlineStr">
        <is>
          <t>/blog/recycling-carbon</t>
        </is>
      </c>
    </row>
    <row r="183" ht="15" customHeight="1" s="54">
      <c r="A183" s="63" t="n">
        <v>179</v>
      </c>
      <c r="B183" s="63" t="inlineStr">
        <is>
          <t>india metal recycling market size</t>
        </is>
      </c>
      <c r="C183" s="63" t="inlineStr">
        <is>
          <t>Thought Leadership</t>
        </is>
      </c>
      <c r="D183" s="63" t="inlineStr">
        <is>
          <t>Market</t>
        </is>
      </c>
      <c r="E183" s="63" t="inlineStr">
        <is>
          <t>Informational</t>
        </is>
      </c>
      <c r="F183" s="63" t="inlineStr">
        <is>
          <t>All</t>
        </is>
      </c>
      <c r="G183" s="64" t="n">
        <v>480</v>
      </c>
      <c r="H183" s="64" t="n">
        <v>880</v>
      </c>
      <c r="I183" s="64" t="n">
        <v>33</v>
      </c>
      <c r="J183" s="65">
        <f>100-I183</f>
        <v/>
      </c>
      <c r="K183" s="65" t="n">
        <v>40</v>
      </c>
      <c r="L183" s="66">
        <f>ROUND((G183/MAX($G$5:$G$271)*100*0.4)+(J183*0.35)+(K183*0.25),1)</f>
        <v/>
      </c>
      <c r="M183" s="63">
        <f>IF(L183&gt;=62,"1 - Do now",IF(L183&gt;=52,"2 - Next",IF(L183&gt;=44,"3 - Later","4 - Backlog")))</f>
        <v/>
      </c>
      <c r="N183" s="63" t="inlineStr">
        <is>
          <t>/blog/india-recycling-market</t>
        </is>
      </c>
    </row>
    <row r="184" ht="15" customHeight="1" s="54">
      <c r="A184" s="67" t="n">
        <v>180</v>
      </c>
      <c r="B184" s="67" t="inlineStr">
        <is>
          <t>scrap recycling industry trends 2026</t>
        </is>
      </c>
      <c r="C184" s="67" t="inlineStr">
        <is>
          <t>Thought Leadership</t>
        </is>
      </c>
      <c r="D184" s="67" t="inlineStr">
        <is>
          <t>Market</t>
        </is>
      </c>
      <c r="E184" s="67" t="inlineStr">
        <is>
          <t>Informational</t>
        </is>
      </c>
      <c r="F184" s="67" t="inlineStr">
        <is>
          <t>All</t>
        </is>
      </c>
      <c r="G184" s="68" t="n">
        <v>390</v>
      </c>
      <c r="H184" s="68" t="n">
        <v>1600</v>
      </c>
      <c r="I184" s="68" t="n">
        <v>31</v>
      </c>
      <c r="J184" s="69">
        <f>100-I184</f>
        <v/>
      </c>
      <c r="K184" s="69" t="n">
        <v>40</v>
      </c>
      <c r="L184" s="70">
        <f>ROUND((G184/MAX($G$5:$G$271)*100*0.4)+(J184*0.35)+(K184*0.25),1)</f>
        <v/>
      </c>
      <c r="M184" s="67">
        <f>IF(L184&gt;=62,"1 - Do now",IF(L184&gt;=52,"2 - Next",IF(L184&gt;=44,"3 - Later","4 - Backlog")))</f>
        <v/>
      </c>
      <c r="N184" s="67" t="inlineStr">
        <is>
          <t>/blog/recycling-trends-2026</t>
        </is>
      </c>
    </row>
    <row r="185" ht="15" customHeight="1" s="54">
      <c r="A185" s="63" t="n">
        <v>181</v>
      </c>
      <c r="B185" s="63" t="inlineStr">
        <is>
          <t>plastic waste management rules india</t>
        </is>
      </c>
      <c r="C185" s="63" t="inlineStr">
        <is>
          <t>Thought Leadership</t>
        </is>
      </c>
      <c r="D185" s="63" t="inlineStr">
        <is>
          <t>Policy</t>
        </is>
      </c>
      <c r="E185" s="63" t="inlineStr">
        <is>
          <t>Informational</t>
        </is>
      </c>
      <c r="F185" s="63" t="inlineStr">
        <is>
          <t>India</t>
        </is>
      </c>
      <c r="G185" s="64" t="n">
        <v>2400</v>
      </c>
      <c r="H185" s="64" t="n">
        <v>2900</v>
      </c>
      <c r="I185" s="64" t="n">
        <v>45</v>
      </c>
      <c r="J185" s="65">
        <f>100-I185</f>
        <v/>
      </c>
      <c r="K185" s="65" t="n">
        <v>40</v>
      </c>
      <c r="L185" s="66">
        <f>ROUND((G185/MAX($G$5:$G$271)*100*0.4)+(J185*0.35)+(K185*0.25),1)</f>
        <v/>
      </c>
      <c r="M185" s="63">
        <f>IF(L185&gt;=62,"1 - Do now",IF(L185&gt;=52,"2 - Next",IF(L185&gt;=44,"3 - Later","4 - Backlog")))</f>
        <v/>
      </c>
      <c r="N185" s="63" t="inlineStr">
        <is>
          <t>/blog/plastic-waste-rules</t>
        </is>
      </c>
    </row>
    <row r="186" ht="15" customHeight="1" s="54">
      <c r="A186" s="67" t="n">
        <v>182</v>
      </c>
      <c r="B186" s="67" t="inlineStr">
        <is>
          <t>swachh bharat waste processing machinery</t>
        </is>
      </c>
      <c r="C186" s="67" t="inlineStr">
        <is>
          <t>Thought Leadership</t>
        </is>
      </c>
      <c r="D186" s="67" t="inlineStr">
        <is>
          <t>Policy</t>
        </is>
      </c>
      <c r="E186" s="67" t="inlineStr">
        <is>
          <t>Informational</t>
        </is>
      </c>
      <c r="F186" s="67" t="inlineStr">
        <is>
          <t>India</t>
        </is>
      </c>
      <c r="G186" s="68" t="n">
        <v>260</v>
      </c>
      <c r="H186" s="68" t="n">
        <v>320</v>
      </c>
      <c r="I186" s="68" t="n">
        <v>25</v>
      </c>
      <c r="J186" s="69">
        <f>100-I186</f>
        <v/>
      </c>
      <c r="K186" s="69" t="n">
        <v>40</v>
      </c>
      <c r="L186" s="70">
        <f>ROUND((G186/MAX($G$5:$G$271)*100*0.4)+(J186*0.35)+(K186*0.25),1)</f>
        <v/>
      </c>
      <c r="M186" s="67">
        <f>IF(L186&gt;=62,"1 - Do now",IF(L186&gt;=52,"2 - Next",IF(L186&gt;=44,"3 - Later","4 - Backlog")))</f>
        <v/>
      </c>
      <c r="N186" s="67" t="inlineStr">
        <is>
          <t>/blog/municipal-waste-machinery</t>
        </is>
      </c>
    </row>
    <row r="187" ht="15" customHeight="1" s="54">
      <c r="A187" s="63" t="n">
        <v>183</v>
      </c>
      <c r="B187" s="63" t="inlineStr">
        <is>
          <t>baling press for rolling mill</t>
        </is>
      </c>
      <c r="C187" s="63" t="inlineStr">
        <is>
          <t>Industry Verticals</t>
        </is>
      </c>
      <c r="D187" s="63" t="inlineStr">
        <is>
          <t>Vertical</t>
        </is>
      </c>
      <c r="E187" s="63" t="inlineStr">
        <is>
          <t>Commercial</t>
        </is>
      </c>
      <c r="F187" s="63" t="inlineStr">
        <is>
          <t>India</t>
        </is>
      </c>
      <c r="G187" s="64" t="n">
        <v>140</v>
      </c>
      <c r="H187" s="64" t="n">
        <v>210</v>
      </c>
      <c r="I187" s="64" t="n">
        <v>17</v>
      </c>
      <c r="J187" s="65">
        <f>100-I187</f>
        <v/>
      </c>
      <c r="K187" s="65" t="n">
        <v>75</v>
      </c>
      <c r="L187" s="66">
        <f>ROUND((G187/MAX($G$5:$G$271)*100*0.4)+(J187*0.35)+(K187*0.25),1)</f>
        <v/>
      </c>
      <c r="M187" s="63">
        <f>IF(L187&gt;=62,"1 - Do now",IF(L187&gt;=52,"2 - Next",IF(L187&gt;=44,"3 - Later","4 - Backlog")))</f>
        <v/>
      </c>
      <c r="N187" s="63" t="inlineStr">
        <is>
          <t>/industries/rolling-mills</t>
        </is>
      </c>
    </row>
    <row r="188" ht="15" customHeight="1" s="54">
      <c r="A188" s="67" t="n">
        <v>184</v>
      </c>
      <c r="B188" s="67" t="inlineStr">
        <is>
          <t>scrap handling equipment for foundry</t>
        </is>
      </c>
      <c r="C188" s="67" t="inlineStr">
        <is>
          <t>Industry Verticals</t>
        </is>
      </c>
      <c r="D188" s="67" t="inlineStr">
        <is>
          <t>Vertical</t>
        </is>
      </c>
      <c r="E188" s="67" t="inlineStr">
        <is>
          <t>Commercial</t>
        </is>
      </c>
      <c r="F188" s="67" t="inlineStr">
        <is>
          <t>India+Export</t>
        </is>
      </c>
      <c r="G188" s="68" t="n">
        <v>110</v>
      </c>
      <c r="H188" s="68" t="n">
        <v>480</v>
      </c>
      <c r="I188" s="68" t="n">
        <v>20</v>
      </c>
      <c r="J188" s="69">
        <f>100-I188</f>
        <v/>
      </c>
      <c r="K188" s="69" t="n">
        <v>75</v>
      </c>
      <c r="L188" s="70">
        <f>ROUND((G188/MAX($G$5:$G$271)*100*0.4)+(J188*0.35)+(K188*0.25),1)</f>
        <v/>
      </c>
      <c r="M188" s="67">
        <f>IF(L188&gt;=62,"1 - Do now",IF(L188&gt;=52,"2 - Next",IF(L188&gt;=44,"3 - Later","4 - Backlog")))</f>
        <v/>
      </c>
      <c r="N188" s="67" t="inlineStr">
        <is>
          <t>/industries/foundry</t>
        </is>
      </c>
    </row>
    <row r="189" ht="15" customHeight="1" s="54">
      <c r="A189" s="63" t="n">
        <v>185</v>
      </c>
      <c r="B189" s="63" t="inlineStr">
        <is>
          <t>chip processing system for cnc shop</t>
        </is>
      </c>
      <c r="C189" s="63" t="inlineStr">
        <is>
          <t>Industry Verticals</t>
        </is>
      </c>
      <c r="D189" s="63" t="inlineStr">
        <is>
          <t>Vertical</t>
        </is>
      </c>
      <c r="E189" s="63" t="inlineStr">
        <is>
          <t>Commercial</t>
        </is>
      </c>
      <c r="F189" s="63" t="inlineStr">
        <is>
          <t>India+Export</t>
        </is>
      </c>
      <c r="G189" s="64" t="n">
        <v>90</v>
      </c>
      <c r="H189" s="64" t="n">
        <v>720</v>
      </c>
      <c r="I189" s="64" t="n">
        <v>19</v>
      </c>
      <c r="J189" s="65">
        <f>100-I189</f>
        <v/>
      </c>
      <c r="K189" s="65" t="n">
        <v>75</v>
      </c>
      <c r="L189" s="66">
        <f>ROUND((G189/MAX($G$5:$G$271)*100*0.4)+(J189*0.35)+(K189*0.25),1)</f>
        <v/>
      </c>
      <c r="M189" s="63">
        <f>IF(L189&gt;=62,"1 - Do now",IF(L189&gt;=52,"2 - Next",IF(L189&gt;=44,"3 - Later","4 - Backlog")))</f>
        <v/>
      </c>
      <c r="N189" s="63" t="inlineStr">
        <is>
          <t>/industries/machining</t>
        </is>
      </c>
    </row>
    <row r="190" ht="15" customHeight="1" s="54">
      <c r="A190" s="67" t="n">
        <v>186</v>
      </c>
      <c r="B190" s="67" t="inlineStr">
        <is>
          <t>recycling machinery for automotive industry</t>
        </is>
      </c>
      <c r="C190" s="67" t="inlineStr">
        <is>
          <t>Industry Verticals</t>
        </is>
      </c>
      <c r="D190" s="67" t="inlineStr">
        <is>
          <t>Vertical</t>
        </is>
      </c>
      <c r="E190" s="67" t="inlineStr">
        <is>
          <t>Commercial</t>
        </is>
      </c>
      <c r="F190" s="67" t="inlineStr">
        <is>
          <t>India+Export</t>
        </is>
      </c>
      <c r="G190" s="68" t="n">
        <v>170</v>
      </c>
      <c r="H190" s="68" t="n">
        <v>880</v>
      </c>
      <c r="I190" s="68" t="n">
        <v>26</v>
      </c>
      <c r="J190" s="69">
        <f>100-I190</f>
        <v/>
      </c>
      <c r="K190" s="69" t="n">
        <v>75</v>
      </c>
      <c r="L190" s="70">
        <f>ROUND((G190/MAX($G$5:$G$271)*100*0.4)+(J190*0.35)+(K190*0.25),1)</f>
        <v/>
      </c>
      <c r="M190" s="67">
        <f>IF(L190&gt;=62,"1 - Do now",IF(L190&gt;=52,"2 - Next",IF(L190&gt;=44,"3 - Later","4 - Backlog")))</f>
        <v/>
      </c>
      <c r="N190" s="67" t="inlineStr">
        <is>
          <t>/industries/automotive</t>
        </is>
      </c>
    </row>
    <row r="191" ht="15" customHeight="1" s="54">
      <c r="A191" s="63" t="n">
        <v>187</v>
      </c>
      <c r="B191" s="63" t="inlineStr">
        <is>
          <t>baling machine for packaging industry</t>
        </is>
      </c>
      <c r="C191" s="63" t="inlineStr">
        <is>
          <t>Industry Verticals</t>
        </is>
      </c>
      <c r="D191" s="63" t="inlineStr">
        <is>
          <t>Vertical</t>
        </is>
      </c>
      <c r="E191" s="63" t="inlineStr">
        <is>
          <t>Commercial</t>
        </is>
      </c>
      <c r="F191" s="63" t="inlineStr">
        <is>
          <t>India+Export</t>
        </is>
      </c>
      <c r="G191" s="64" t="n">
        <v>140</v>
      </c>
      <c r="H191" s="64" t="n">
        <v>590</v>
      </c>
      <c r="I191" s="64" t="n">
        <v>22</v>
      </c>
      <c r="J191" s="65">
        <f>100-I191</f>
        <v/>
      </c>
      <c r="K191" s="65" t="n">
        <v>75</v>
      </c>
      <c r="L191" s="66">
        <f>ROUND((G191/MAX($G$5:$G$271)*100*0.4)+(J191*0.35)+(K191*0.25),1)</f>
        <v/>
      </c>
      <c r="M191" s="63">
        <f>IF(L191&gt;=62,"1 - Do now",IF(L191&gt;=52,"2 - Next",IF(L191&gt;=44,"3 - Later","4 - Backlog")))</f>
        <v/>
      </c>
      <c r="N191" s="63" t="inlineStr">
        <is>
          <t>/industries/packaging</t>
        </is>
      </c>
    </row>
    <row r="192" ht="15" customHeight="1" s="54">
      <c r="A192" s="67" t="n">
        <v>188</v>
      </c>
      <c r="B192" s="67" t="inlineStr">
        <is>
          <t>waste machinery for municipal corporation</t>
        </is>
      </c>
      <c r="C192" s="67" t="inlineStr">
        <is>
          <t>Industry Verticals</t>
        </is>
      </c>
      <c r="D192" s="67" t="inlineStr">
        <is>
          <t>Vertical</t>
        </is>
      </c>
      <c r="E192" s="67" t="inlineStr">
        <is>
          <t>Commercial</t>
        </is>
      </c>
      <c r="F192" s="67" t="inlineStr">
        <is>
          <t>India</t>
        </is>
      </c>
      <c r="G192" s="68" t="n">
        <v>110</v>
      </c>
      <c r="H192" s="68" t="n">
        <v>170</v>
      </c>
      <c r="I192" s="68" t="n">
        <v>18</v>
      </c>
      <c r="J192" s="69">
        <f>100-I192</f>
        <v/>
      </c>
      <c r="K192" s="69" t="n">
        <v>75</v>
      </c>
      <c r="L192" s="70">
        <f>ROUND((G192/MAX($G$5:$G$271)*100*0.4)+(J192*0.35)+(K192*0.25),1)</f>
        <v/>
      </c>
      <c r="M192" s="67">
        <f>IF(L192&gt;=62,"1 - Do now",IF(L192&gt;=52,"2 - Next",IF(L192&gt;=44,"3 - Later","4 - Backlog")))</f>
        <v/>
      </c>
      <c r="N192" s="67" t="inlineStr">
        <is>
          <t>/industries/municipal</t>
        </is>
      </c>
    </row>
    <row r="193" ht="15" customHeight="1" s="54">
      <c r="A193" s="63" t="n">
        <v>189</v>
      </c>
      <c r="B193" s="63" t="inlineStr">
        <is>
          <t>scrap processing equipment for steel plant</t>
        </is>
      </c>
      <c r="C193" s="63" t="inlineStr">
        <is>
          <t>Industry Verticals</t>
        </is>
      </c>
      <c r="D193" s="63" t="inlineStr">
        <is>
          <t>Vertical</t>
        </is>
      </c>
      <c r="E193" s="63" t="inlineStr">
        <is>
          <t>Commercial</t>
        </is>
      </c>
      <c r="F193" s="63" t="inlineStr">
        <is>
          <t>India+Export</t>
        </is>
      </c>
      <c r="G193" s="64" t="n">
        <v>170</v>
      </c>
      <c r="H193" s="64" t="n">
        <v>590</v>
      </c>
      <c r="I193" s="64" t="n">
        <v>24</v>
      </c>
      <c r="J193" s="65">
        <f>100-I193</f>
        <v/>
      </c>
      <c r="K193" s="65" t="n">
        <v>75</v>
      </c>
      <c r="L193" s="66">
        <f>ROUND((G193/MAX($G$5:$G$271)*100*0.4)+(J193*0.35)+(K193*0.25),1)</f>
        <v/>
      </c>
      <c r="M193" s="63">
        <f>IF(L193&gt;=62,"1 - Do now",IF(L193&gt;=52,"2 - Next",IF(L193&gt;=44,"3 - Later","4 - Backlog")))</f>
        <v/>
      </c>
      <c r="N193" s="63" t="inlineStr">
        <is>
          <t>/industries/steel-plants</t>
        </is>
      </c>
    </row>
    <row r="194" ht="15" customHeight="1" s="54">
      <c r="A194" s="67" t="n">
        <v>190</v>
      </c>
      <c r="B194" s="67" t="inlineStr">
        <is>
          <t>baler for warehouse and retail waste</t>
        </is>
      </c>
      <c r="C194" s="67" t="inlineStr">
        <is>
          <t>Industry Verticals</t>
        </is>
      </c>
      <c r="D194" s="67" t="inlineStr">
        <is>
          <t>Vertical</t>
        </is>
      </c>
      <c r="E194" s="67" t="inlineStr">
        <is>
          <t>Commercial</t>
        </is>
      </c>
      <c r="F194" s="67" t="inlineStr">
        <is>
          <t>India+Export</t>
        </is>
      </c>
      <c r="G194" s="68" t="n">
        <v>90</v>
      </c>
      <c r="H194" s="68" t="n">
        <v>1300</v>
      </c>
      <c r="I194" s="68" t="n">
        <v>21</v>
      </c>
      <c r="J194" s="69">
        <f>100-I194</f>
        <v/>
      </c>
      <c r="K194" s="69" t="n">
        <v>75</v>
      </c>
      <c r="L194" s="70">
        <f>ROUND((G194/MAX($G$5:$G$271)*100*0.4)+(J194*0.35)+(K194*0.25),1)</f>
        <v/>
      </c>
      <c r="M194" s="67">
        <f>IF(L194&gt;=62,"1 - Do now",IF(L194&gt;=52,"2 - Next",IF(L194&gt;=44,"3 - Later","4 - Backlog")))</f>
        <v/>
      </c>
      <c r="N194" s="67" t="inlineStr">
        <is>
          <t>/industries/retail</t>
        </is>
      </c>
    </row>
    <row r="195" ht="15" customHeight="1" s="54">
      <c r="A195" s="63" t="n">
        <v>191</v>
      </c>
      <c r="B195" s="63" t="inlineStr">
        <is>
          <t>recycling equipment for paper mill</t>
        </is>
      </c>
      <c r="C195" s="63" t="inlineStr">
        <is>
          <t>Industry Verticals</t>
        </is>
      </c>
      <c r="D195" s="63" t="inlineStr">
        <is>
          <t>Vertical</t>
        </is>
      </c>
      <c r="E195" s="63" t="inlineStr">
        <is>
          <t>Commercial</t>
        </is>
      </c>
      <c r="F195" s="63" t="inlineStr">
        <is>
          <t>India+Export</t>
        </is>
      </c>
      <c r="G195" s="64" t="n">
        <v>140</v>
      </c>
      <c r="H195" s="64" t="n">
        <v>480</v>
      </c>
      <c r="I195" s="64" t="n">
        <v>23</v>
      </c>
      <c r="J195" s="65">
        <f>100-I195</f>
        <v/>
      </c>
      <c r="K195" s="65" t="n">
        <v>75</v>
      </c>
      <c r="L195" s="66">
        <f>ROUND((G195/MAX($G$5:$G$271)*100*0.4)+(J195*0.35)+(K195*0.25),1)</f>
        <v/>
      </c>
      <c r="M195" s="63">
        <f>IF(L195&gt;=62,"1 - Do now",IF(L195&gt;=52,"2 - Next",IF(L195&gt;=44,"3 - Later","4 - Backlog")))</f>
        <v/>
      </c>
      <c r="N195" s="63" t="inlineStr">
        <is>
          <t>/industries/paper-mills</t>
        </is>
      </c>
    </row>
    <row r="196" ht="15" customHeight="1" s="54">
      <c r="A196" s="67" t="n">
        <v>192</v>
      </c>
      <c r="B196" s="67" t="inlineStr">
        <is>
          <t>machinery for ship breaking yard</t>
        </is>
      </c>
      <c r="C196" s="67" t="inlineStr">
        <is>
          <t>Industry Verticals</t>
        </is>
      </c>
      <c r="D196" s="67" t="inlineStr">
        <is>
          <t>Vertical</t>
        </is>
      </c>
      <c r="E196" s="67" t="inlineStr">
        <is>
          <t>Commercial</t>
        </is>
      </c>
      <c r="F196" s="67" t="inlineStr">
        <is>
          <t>India</t>
        </is>
      </c>
      <c r="G196" s="68" t="n">
        <v>210</v>
      </c>
      <c r="H196" s="68" t="n">
        <v>590</v>
      </c>
      <c r="I196" s="68" t="n">
        <v>26</v>
      </c>
      <c r="J196" s="69">
        <f>100-I196</f>
        <v/>
      </c>
      <c r="K196" s="69" t="n">
        <v>75</v>
      </c>
      <c r="L196" s="70">
        <f>ROUND((G196/MAX($G$5:$G$271)*100*0.4)+(J196*0.35)+(K196*0.25),1)</f>
        <v/>
      </c>
      <c r="M196" s="67">
        <f>IF(L196&gt;=62,"1 - Do now",IF(L196&gt;=52,"2 - Next",IF(L196&gt;=44,"3 - Later","4 - Backlog")))</f>
        <v/>
      </c>
      <c r="N196" s="67" t="inlineStr">
        <is>
          <t>/industries/ship-breaking</t>
        </is>
      </c>
    </row>
    <row r="197" ht="15" customHeight="1" s="54">
      <c r="A197" s="63" t="n">
        <v>193</v>
      </c>
      <c r="B197" s="63" t="inlineStr">
        <is>
          <t>scrap baling press machine in alwar</t>
        </is>
      </c>
      <c r="C197" s="63" t="inlineStr">
        <is>
          <t>Local SEO</t>
        </is>
      </c>
      <c r="D197" s="63" t="inlineStr">
        <is>
          <t>Local</t>
        </is>
      </c>
      <c r="E197" s="63" t="inlineStr">
        <is>
          <t>Transactional</t>
        </is>
      </c>
      <c r="F197" s="63" t="inlineStr">
        <is>
          <t>India</t>
        </is>
      </c>
      <c r="G197" s="64" t="n">
        <v>90</v>
      </c>
      <c r="H197" s="64" t="n">
        <v>18</v>
      </c>
      <c r="I197" s="64" t="n">
        <v>8</v>
      </c>
      <c r="J197" s="65">
        <f>100-I197</f>
        <v/>
      </c>
      <c r="K197" s="65" t="n">
        <v>100</v>
      </c>
      <c r="L197" s="66">
        <f>ROUND((G197/MAX($G$5:$G$271)*100*0.4)+(J197*0.35)+(K197*0.25),1)</f>
        <v/>
      </c>
      <c r="M197" s="63">
        <f>IF(L197&gt;=62,"1 - Do now",IF(L197&gt;=52,"2 - Next",IF(L197&gt;=44,"3 - Later","4 - Backlog")))</f>
        <v/>
      </c>
      <c r="N197" s="63" t="inlineStr">
        <is>
          <t>/locations</t>
        </is>
      </c>
    </row>
    <row r="198" ht="15" customHeight="1" s="54">
      <c r="A198" s="67" t="n">
        <v>194</v>
      </c>
      <c r="B198" s="67" t="inlineStr">
        <is>
          <t>scrap baling press machine in jaipur</t>
        </is>
      </c>
      <c r="C198" s="67" t="inlineStr">
        <is>
          <t>Local SEO</t>
        </is>
      </c>
      <c r="D198" s="67" t="inlineStr">
        <is>
          <t>Local</t>
        </is>
      </c>
      <c r="E198" s="67" t="inlineStr">
        <is>
          <t>Transactional</t>
        </is>
      </c>
      <c r="F198" s="67" t="inlineStr">
        <is>
          <t>India</t>
        </is>
      </c>
      <c r="G198" s="68" t="n">
        <v>170</v>
      </c>
      <c r="H198" s="68" t="n">
        <v>34</v>
      </c>
      <c r="I198" s="68" t="n">
        <v>14</v>
      </c>
      <c r="J198" s="69">
        <f>100-I198</f>
        <v/>
      </c>
      <c r="K198" s="69" t="n">
        <v>100</v>
      </c>
      <c r="L198" s="70">
        <f>ROUND((G198/MAX($G$5:$G$271)*100*0.4)+(J198*0.35)+(K198*0.25),1)</f>
        <v/>
      </c>
      <c r="M198" s="67">
        <f>IF(L198&gt;=62,"1 - Do now",IF(L198&gt;=52,"2 - Next",IF(L198&gt;=44,"3 - Later","4 - Backlog")))</f>
        <v/>
      </c>
      <c r="N198" s="67" t="inlineStr">
        <is>
          <t>/locations</t>
        </is>
      </c>
    </row>
    <row r="199" ht="15" customHeight="1" s="54">
      <c r="A199" s="63" t="n">
        <v>195</v>
      </c>
      <c r="B199" s="63" t="inlineStr">
        <is>
          <t>scrap baling press machine in delhi ncr</t>
        </is>
      </c>
      <c r="C199" s="63" t="inlineStr">
        <is>
          <t>Local SEO</t>
        </is>
      </c>
      <c r="D199" s="63" t="inlineStr">
        <is>
          <t>Local</t>
        </is>
      </c>
      <c r="E199" s="63" t="inlineStr">
        <is>
          <t>Transactional</t>
        </is>
      </c>
      <c r="F199" s="63" t="inlineStr">
        <is>
          <t>India</t>
        </is>
      </c>
      <c r="G199" s="64" t="n">
        <v>320</v>
      </c>
      <c r="H199" s="64" t="n">
        <v>64</v>
      </c>
      <c r="I199" s="64" t="n">
        <v>24</v>
      </c>
      <c r="J199" s="65">
        <f>100-I199</f>
        <v/>
      </c>
      <c r="K199" s="65" t="n">
        <v>100</v>
      </c>
      <c r="L199" s="66">
        <f>ROUND((G199/MAX($G$5:$G$271)*100*0.4)+(J199*0.35)+(K199*0.25),1)</f>
        <v/>
      </c>
      <c r="M199" s="63">
        <f>IF(L199&gt;=62,"1 - Do now",IF(L199&gt;=52,"2 - Next",IF(L199&gt;=44,"3 - Later","4 - Backlog")))</f>
        <v/>
      </c>
      <c r="N199" s="63" t="inlineStr">
        <is>
          <t>/locations</t>
        </is>
      </c>
    </row>
    <row r="200" ht="15" customHeight="1" s="54">
      <c r="A200" s="67" t="n">
        <v>196</v>
      </c>
      <c r="B200" s="67" t="inlineStr">
        <is>
          <t>scrap baling press machine in ahmedabad</t>
        </is>
      </c>
      <c r="C200" s="67" t="inlineStr">
        <is>
          <t>Local SEO</t>
        </is>
      </c>
      <c r="D200" s="67" t="inlineStr">
        <is>
          <t>Local</t>
        </is>
      </c>
      <c r="E200" s="67" t="inlineStr">
        <is>
          <t>Transactional</t>
        </is>
      </c>
      <c r="F200" s="67" t="inlineStr">
        <is>
          <t>India</t>
        </is>
      </c>
      <c r="G200" s="68" t="n">
        <v>260</v>
      </c>
      <c r="H200" s="68" t="n">
        <v>52</v>
      </c>
      <c r="I200" s="68" t="n">
        <v>22</v>
      </c>
      <c r="J200" s="69">
        <f>100-I200</f>
        <v/>
      </c>
      <c r="K200" s="69" t="n">
        <v>100</v>
      </c>
      <c r="L200" s="70">
        <f>ROUND((G200/MAX($G$5:$G$271)*100*0.4)+(J200*0.35)+(K200*0.25),1)</f>
        <v/>
      </c>
      <c r="M200" s="67">
        <f>IF(L200&gt;=62,"1 - Do now",IF(L200&gt;=52,"2 - Next",IF(L200&gt;=44,"3 - Later","4 - Backlog")))</f>
        <v/>
      </c>
      <c r="N200" s="67" t="inlineStr">
        <is>
          <t>/locations</t>
        </is>
      </c>
    </row>
    <row r="201" ht="15" customHeight="1" s="54">
      <c r="A201" s="63" t="n">
        <v>197</v>
      </c>
      <c r="B201" s="63" t="inlineStr">
        <is>
          <t>scrap baling press machine in mandi gobindgarh</t>
        </is>
      </c>
      <c r="C201" s="63" t="inlineStr">
        <is>
          <t>Local SEO</t>
        </is>
      </c>
      <c r="D201" s="63" t="inlineStr">
        <is>
          <t>Local</t>
        </is>
      </c>
      <c r="E201" s="63" t="inlineStr">
        <is>
          <t>Transactional</t>
        </is>
      </c>
      <c r="F201" s="63" t="inlineStr">
        <is>
          <t>India</t>
        </is>
      </c>
      <c r="G201" s="64" t="n">
        <v>210</v>
      </c>
      <c r="H201" s="64" t="n">
        <v>42</v>
      </c>
      <c r="I201" s="64" t="n">
        <v>15</v>
      </c>
      <c r="J201" s="65">
        <f>100-I201</f>
        <v/>
      </c>
      <c r="K201" s="65" t="n">
        <v>100</v>
      </c>
      <c r="L201" s="66">
        <f>ROUND((G201/MAX($G$5:$G$271)*100*0.4)+(J201*0.35)+(K201*0.25),1)</f>
        <v/>
      </c>
      <c r="M201" s="63">
        <f>IF(L201&gt;=62,"1 - Do now",IF(L201&gt;=52,"2 - Next",IF(L201&gt;=44,"3 - Later","4 - Backlog")))</f>
        <v/>
      </c>
      <c r="N201" s="63" t="inlineStr">
        <is>
          <t>/locations</t>
        </is>
      </c>
    </row>
    <row r="202" ht="15" customHeight="1" s="54">
      <c r="A202" s="67" t="n">
        <v>198</v>
      </c>
      <c r="B202" s="67" t="inlineStr">
        <is>
          <t>scrap baling press machine in ludhiana</t>
        </is>
      </c>
      <c r="C202" s="67" t="inlineStr">
        <is>
          <t>Local SEO</t>
        </is>
      </c>
      <c r="D202" s="67" t="inlineStr">
        <is>
          <t>Local</t>
        </is>
      </c>
      <c r="E202" s="67" t="inlineStr">
        <is>
          <t>Transactional</t>
        </is>
      </c>
      <c r="F202" s="67" t="inlineStr">
        <is>
          <t>India</t>
        </is>
      </c>
      <c r="G202" s="68" t="n">
        <v>190</v>
      </c>
      <c r="H202" s="68" t="n">
        <v>38</v>
      </c>
      <c r="I202" s="68" t="n">
        <v>17</v>
      </c>
      <c r="J202" s="69">
        <f>100-I202</f>
        <v/>
      </c>
      <c r="K202" s="69" t="n">
        <v>100</v>
      </c>
      <c r="L202" s="70">
        <f>ROUND((G202/MAX($G$5:$G$271)*100*0.4)+(J202*0.35)+(K202*0.25),1)</f>
        <v/>
      </c>
      <c r="M202" s="67">
        <f>IF(L202&gt;=62,"1 - Do now",IF(L202&gt;=52,"2 - Next",IF(L202&gt;=44,"3 - Later","4 - Backlog")))</f>
        <v/>
      </c>
      <c r="N202" s="67" t="inlineStr">
        <is>
          <t>/locations</t>
        </is>
      </c>
    </row>
    <row r="203" ht="15" customHeight="1" s="54">
      <c r="A203" s="63" t="n">
        <v>199</v>
      </c>
      <c r="B203" s="63" t="inlineStr">
        <is>
          <t>scrap baling press machine in mumbai</t>
        </is>
      </c>
      <c r="C203" s="63" t="inlineStr">
        <is>
          <t>Local SEO</t>
        </is>
      </c>
      <c r="D203" s="63" t="inlineStr">
        <is>
          <t>Local</t>
        </is>
      </c>
      <c r="E203" s="63" t="inlineStr">
        <is>
          <t>Transactional</t>
        </is>
      </c>
      <c r="F203" s="63" t="inlineStr">
        <is>
          <t>India</t>
        </is>
      </c>
      <c r="G203" s="64" t="n">
        <v>260</v>
      </c>
      <c r="H203" s="64" t="n">
        <v>52</v>
      </c>
      <c r="I203" s="64" t="n">
        <v>25</v>
      </c>
      <c r="J203" s="65">
        <f>100-I203</f>
        <v/>
      </c>
      <c r="K203" s="65" t="n">
        <v>100</v>
      </c>
      <c r="L203" s="66">
        <f>ROUND((G203/MAX($G$5:$G$271)*100*0.4)+(J203*0.35)+(K203*0.25),1)</f>
        <v/>
      </c>
      <c r="M203" s="63">
        <f>IF(L203&gt;=62,"1 - Do now",IF(L203&gt;=52,"2 - Next",IF(L203&gt;=44,"3 - Later","4 - Backlog")))</f>
        <v/>
      </c>
      <c r="N203" s="63" t="inlineStr">
        <is>
          <t>/locations</t>
        </is>
      </c>
    </row>
    <row r="204" ht="15" customHeight="1" s="54">
      <c r="A204" s="67" t="n">
        <v>200</v>
      </c>
      <c r="B204" s="67" t="inlineStr">
        <is>
          <t>scrap baling press machine in chennai</t>
        </is>
      </c>
      <c r="C204" s="67" t="inlineStr">
        <is>
          <t>Local SEO</t>
        </is>
      </c>
      <c r="D204" s="67" t="inlineStr">
        <is>
          <t>Local</t>
        </is>
      </c>
      <c r="E204" s="67" t="inlineStr">
        <is>
          <t>Transactional</t>
        </is>
      </c>
      <c r="F204" s="67" t="inlineStr">
        <is>
          <t>India</t>
        </is>
      </c>
      <c r="G204" s="68" t="n">
        <v>210</v>
      </c>
      <c r="H204" s="68" t="n">
        <v>42</v>
      </c>
      <c r="I204" s="68" t="n">
        <v>22</v>
      </c>
      <c r="J204" s="69">
        <f>100-I204</f>
        <v/>
      </c>
      <c r="K204" s="69" t="n">
        <v>100</v>
      </c>
      <c r="L204" s="70">
        <f>ROUND((G204/MAX($G$5:$G$271)*100*0.4)+(J204*0.35)+(K204*0.25),1)</f>
        <v/>
      </c>
      <c r="M204" s="67">
        <f>IF(L204&gt;=62,"1 - Do now",IF(L204&gt;=52,"2 - Next",IF(L204&gt;=44,"3 - Later","4 - Backlog")))</f>
        <v/>
      </c>
      <c r="N204" s="67" t="inlineStr">
        <is>
          <t>/locations</t>
        </is>
      </c>
    </row>
    <row r="205" ht="15" customHeight="1" s="54">
      <c r="A205" s="63" t="n">
        <v>201</v>
      </c>
      <c r="B205" s="63" t="inlineStr">
        <is>
          <t>scrap baling press machine in pune</t>
        </is>
      </c>
      <c r="C205" s="63" t="inlineStr">
        <is>
          <t>Local SEO</t>
        </is>
      </c>
      <c r="D205" s="63" t="inlineStr">
        <is>
          <t>Local</t>
        </is>
      </c>
      <c r="E205" s="63" t="inlineStr">
        <is>
          <t>Transactional</t>
        </is>
      </c>
      <c r="F205" s="63" t="inlineStr">
        <is>
          <t>India</t>
        </is>
      </c>
      <c r="G205" s="64" t="n">
        <v>170</v>
      </c>
      <c r="H205" s="64" t="n">
        <v>34</v>
      </c>
      <c r="I205" s="64" t="n">
        <v>20</v>
      </c>
      <c r="J205" s="65">
        <f>100-I205</f>
        <v/>
      </c>
      <c r="K205" s="65" t="n">
        <v>100</v>
      </c>
      <c r="L205" s="66">
        <f>ROUND((G205/MAX($G$5:$G$271)*100*0.4)+(J205*0.35)+(K205*0.25),1)</f>
        <v/>
      </c>
      <c r="M205" s="63">
        <f>IF(L205&gt;=62,"1 - Do now",IF(L205&gt;=52,"2 - Next",IF(L205&gt;=44,"3 - Later","4 - Backlog")))</f>
        <v/>
      </c>
      <c r="N205" s="63" t="inlineStr">
        <is>
          <t>/locations</t>
        </is>
      </c>
    </row>
    <row r="206" ht="15" customHeight="1" s="54">
      <c r="A206" s="67" t="n">
        <v>202</v>
      </c>
      <c r="B206" s="67" t="inlineStr">
        <is>
          <t>scrap baling press machine in kolkata</t>
        </is>
      </c>
      <c r="C206" s="67" t="inlineStr">
        <is>
          <t>Local SEO</t>
        </is>
      </c>
      <c r="D206" s="67" t="inlineStr">
        <is>
          <t>Local</t>
        </is>
      </c>
      <c r="E206" s="67" t="inlineStr">
        <is>
          <t>Transactional</t>
        </is>
      </c>
      <c r="F206" s="67" t="inlineStr">
        <is>
          <t>India</t>
        </is>
      </c>
      <c r="G206" s="68" t="n">
        <v>140</v>
      </c>
      <c r="H206" s="68" t="n">
        <v>28</v>
      </c>
      <c r="I206" s="68" t="n">
        <v>19</v>
      </c>
      <c r="J206" s="69">
        <f>100-I206</f>
        <v/>
      </c>
      <c r="K206" s="69" t="n">
        <v>100</v>
      </c>
      <c r="L206" s="70">
        <f>ROUND((G206/MAX($G$5:$G$271)*100*0.4)+(J206*0.35)+(K206*0.25),1)</f>
        <v/>
      </c>
      <c r="M206" s="67">
        <f>IF(L206&gt;=62,"1 - Do now",IF(L206&gt;=52,"2 - Next",IF(L206&gt;=44,"3 - Later","4 - Backlog")))</f>
        <v/>
      </c>
      <c r="N206" s="67" t="inlineStr">
        <is>
          <t>/locations</t>
        </is>
      </c>
    </row>
    <row r="207" ht="15" customHeight="1" s="54">
      <c r="A207" s="63" t="n">
        <v>203</v>
      </c>
      <c r="B207" s="63" t="inlineStr">
        <is>
          <t>scrap baling press machine in hyderabad</t>
        </is>
      </c>
      <c r="C207" s="63" t="inlineStr">
        <is>
          <t>Local SEO</t>
        </is>
      </c>
      <c r="D207" s="63" t="inlineStr">
        <is>
          <t>Local</t>
        </is>
      </c>
      <c r="E207" s="63" t="inlineStr">
        <is>
          <t>Transactional</t>
        </is>
      </c>
      <c r="F207" s="63" t="inlineStr">
        <is>
          <t>India</t>
        </is>
      </c>
      <c r="G207" s="64" t="n">
        <v>140</v>
      </c>
      <c r="H207" s="64" t="n">
        <v>28</v>
      </c>
      <c r="I207" s="64" t="n">
        <v>20</v>
      </c>
      <c r="J207" s="65">
        <f>100-I207</f>
        <v/>
      </c>
      <c r="K207" s="65" t="n">
        <v>100</v>
      </c>
      <c r="L207" s="66">
        <f>ROUND((G207/MAX($G$5:$G$271)*100*0.4)+(J207*0.35)+(K207*0.25),1)</f>
        <v/>
      </c>
      <c r="M207" s="63">
        <f>IF(L207&gt;=62,"1 - Do now",IF(L207&gt;=52,"2 - Next",IF(L207&gt;=44,"3 - Later","4 - Backlog")))</f>
        <v/>
      </c>
      <c r="N207" s="63" t="inlineStr">
        <is>
          <t>/locations</t>
        </is>
      </c>
    </row>
    <row r="208" ht="15" customHeight="1" s="54">
      <c r="A208" s="67" t="n">
        <v>204</v>
      </c>
      <c r="B208" s="67" t="inlineStr">
        <is>
          <t>scrap baling press machine in bengaluru</t>
        </is>
      </c>
      <c r="C208" s="67" t="inlineStr">
        <is>
          <t>Local SEO</t>
        </is>
      </c>
      <c r="D208" s="67" t="inlineStr">
        <is>
          <t>Local</t>
        </is>
      </c>
      <c r="E208" s="67" t="inlineStr">
        <is>
          <t>Transactional</t>
        </is>
      </c>
      <c r="F208" s="67" t="inlineStr">
        <is>
          <t>India</t>
        </is>
      </c>
      <c r="G208" s="68" t="n">
        <v>170</v>
      </c>
      <c r="H208" s="68" t="n">
        <v>34</v>
      </c>
      <c r="I208" s="68" t="n">
        <v>21</v>
      </c>
      <c r="J208" s="69">
        <f>100-I208</f>
        <v/>
      </c>
      <c r="K208" s="69" t="n">
        <v>100</v>
      </c>
      <c r="L208" s="70">
        <f>ROUND((G208/MAX($G$5:$G$271)*100*0.4)+(J208*0.35)+(K208*0.25),1)</f>
        <v/>
      </c>
      <c r="M208" s="67">
        <f>IF(L208&gt;=62,"1 - Do now",IF(L208&gt;=52,"2 - Next",IF(L208&gt;=44,"3 - Later","4 - Backlog")))</f>
        <v/>
      </c>
      <c r="N208" s="67" t="inlineStr">
        <is>
          <t>/locations</t>
        </is>
      </c>
    </row>
    <row r="209" ht="15" customHeight="1" s="54">
      <c r="A209" s="63" t="n">
        <v>205</v>
      </c>
      <c r="B209" s="63" t="inlineStr">
        <is>
          <t>scrap baling press machine in rajkot</t>
        </is>
      </c>
      <c r="C209" s="63" t="inlineStr">
        <is>
          <t>Local SEO</t>
        </is>
      </c>
      <c r="D209" s="63" t="inlineStr">
        <is>
          <t>Local</t>
        </is>
      </c>
      <c r="E209" s="63" t="inlineStr">
        <is>
          <t>Transactional</t>
        </is>
      </c>
      <c r="F209" s="63" t="inlineStr">
        <is>
          <t>India</t>
        </is>
      </c>
      <c r="G209" s="64" t="n">
        <v>110</v>
      </c>
      <c r="H209" s="64" t="n">
        <v>22</v>
      </c>
      <c r="I209" s="64" t="n">
        <v>13</v>
      </c>
      <c r="J209" s="65">
        <f>100-I209</f>
        <v/>
      </c>
      <c r="K209" s="65" t="n">
        <v>100</v>
      </c>
      <c r="L209" s="66">
        <f>ROUND((G209/MAX($G$5:$G$271)*100*0.4)+(J209*0.35)+(K209*0.25),1)</f>
        <v/>
      </c>
      <c r="M209" s="63">
        <f>IF(L209&gt;=62,"1 - Do now",IF(L209&gt;=52,"2 - Next",IF(L209&gt;=44,"3 - Later","4 - Backlog")))</f>
        <v/>
      </c>
      <c r="N209" s="63" t="inlineStr">
        <is>
          <t>/locations</t>
        </is>
      </c>
    </row>
    <row r="210" ht="15" customHeight="1" s="54">
      <c r="A210" s="67" t="n">
        <v>206</v>
      </c>
      <c r="B210" s="67" t="inlineStr">
        <is>
          <t>scrap baling press machine in kanpur</t>
        </is>
      </c>
      <c r="C210" s="67" t="inlineStr">
        <is>
          <t>Local SEO</t>
        </is>
      </c>
      <c r="D210" s="67" t="inlineStr">
        <is>
          <t>Local</t>
        </is>
      </c>
      <c r="E210" s="67" t="inlineStr">
        <is>
          <t>Transactional</t>
        </is>
      </c>
      <c r="F210" s="67" t="inlineStr">
        <is>
          <t>India</t>
        </is>
      </c>
      <c r="G210" s="68" t="n">
        <v>90</v>
      </c>
      <c r="H210" s="68" t="n">
        <v>18</v>
      </c>
      <c r="I210" s="68" t="n">
        <v>12</v>
      </c>
      <c r="J210" s="69">
        <f>100-I210</f>
        <v/>
      </c>
      <c r="K210" s="69" t="n">
        <v>100</v>
      </c>
      <c r="L210" s="70">
        <f>ROUND((G210/MAX($G$5:$G$271)*100*0.4)+(J210*0.35)+(K210*0.25),1)</f>
        <v/>
      </c>
      <c r="M210" s="67">
        <f>IF(L210&gt;=62,"1 - Do now",IF(L210&gt;=52,"2 - Next",IF(L210&gt;=44,"3 - Later","4 - Backlog")))</f>
        <v/>
      </c>
      <c r="N210" s="67" t="inlineStr">
        <is>
          <t>/locations</t>
        </is>
      </c>
    </row>
    <row r="211" ht="15" customHeight="1" s="54">
      <c r="A211" s="63" t="n">
        <v>207</v>
      </c>
      <c r="B211" s="63" t="inlineStr">
        <is>
          <t>scrap baling press machine in jamshedpur</t>
        </is>
      </c>
      <c r="C211" s="63" t="inlineStr">
        <is>
          <t>Local SEO</t>
        </is>
      </c>
      <c r="D211" s="63" t="inlineStr">
        <is>
          <t>Local</t>
        </is>
      </c>
      <c r="E211" s="63" t="inlineStr">
        <is>
          <t>Transactional</t>
        </is>
      </c>
      <c r="F211" s="63" t="inlineStr">
        <is>
          <t>India</t>
        </is>
      </c>
      <c r="G211" s="64" t="n">
        <v>70</v>
      </c>
      <c r="H211" s="64" t="n">
        <v>14</v>
      </c>
      <c r="I211" s="64" t="n">
        <v>11</v>
      </c>
      <c r="J211" s="65">
        <f>100-I211</f>
        <v/>
      </c>
      <c r="K211" s="65" t="n">
        <v>100</v>
      </c>
      <c r="L211" s="66">
        <f>ROUND((G211/MAX($G$5:$G$271)*100*0.4)+(J211*0.35)+(K211*0.25),1)</f>
        <v/>
      </c>
      <c r="M211" s="63">
        <f>IF(L211&gt;=62,"1 - Do now",IF(L211&gt;=52,"2 - Next",IF(L211&gt;=44,"3 - Later","4 - Backlog")))</f>
        <v/>
      </c>
      <c r="N211" s="63" t="inlineStr">
        <is>
          <t>/locations</t>
        </is>
      </c>
    </row>
    <row r="212" ht="15" customHeight="1" s="54">
      <c r="A212" s="67" t="n">
        <v>208</v>
      </c>
      <c r="B212" s="67" t="inlineStr">
        <is>
          <t>scrap baling press machine in raipur</t>
        </is>
      </c>
      <c r="C212" s="67" t="inlineStr">
        <is>
          <t>Local SEO</t>
        </is>
      </c>
      <c r="D212" s="67" t="inlineStr">
        <is>
          <t>Local</t>
        </is>
      </c>
      <c r="E212" s="67" t="inlineStr">
        <is>
          <t>Transactional</t>
        </is>
      </c>
      <c r="F212" s="67" t="inlineStr">
        <is>
          <t>India</t>
        </is>
      </c>
      <c r="G212" s="68" t="n">
        <v>90</v>
      </c>
      <c r="H212" s="68" t="n">
        <v>18</v>
      </c>
      <c r="I212" s="68" t="n">
        <v>12</v>
      </c>
      <c r="J212" s="69">
        <f>100-I212</f>
        <v/>
      </c>
      <c r="K212" s="69" t="n">
        <v>100</v>
      </c>
      <c r="L212" s="70">
        <f>ROUND((G212/MAX($G$5:$G$271)*100*0.4)+(J212*0.35)+(K212*0.25),1)</f>
        <v/>
      </c>
      <c r="M212" s="67">
        <f>IF(L212&gt;=62,"1 - Do now",IF(L212&gt;=52,"2 - Next",IF(L212&gt;=44,"3 - Later","4 - Backlog")))</f>
        <v/>
      </c>
      <c r="N212" s="67" t="inlineStr">
        <is>
          <t>/locations</t>
        </is>
      </c>
    </row>
    <row r="213" ht="15" customHeight="1" s="54">
      <c r="A213" s="63" t="n">
        <v>209</v>
      </c>
      <c r="B213" s="63" t="inlineStr">
        <is>
          <t>scrap baling press machine in bhiwadi</t>
        </is>
      </c>
      <c r="C213" s="63" t="inlineStr">
        <is>
          <t>Local SEO</t>
        </is>
      </c>
      <c r="D213" s="63" t="inlineStr">
        <is>
          <t>Local</t>
        </is>
      </c>
      <c r="E213" s="63" t="inlineStr">
        <is>
          <t>Transactional</t>
        </is>
      </c>
      <c r="F213" s="63" t="inlineStr">
        <is>
          <t>India</t>
        </is>
      </c>
      <c r="G213" s="64" t="n">
        <v>50</v>
      </c>
      <c r="H213" s="64" t="n">
        <v>10</v>
      </c>
      <c r="I213" s="64" t="n">
        <v>8</v>
      </c>
      <c r="J213" s="65">
        <f>100-I213</f>
        <v/>
      </c>
      <c r="K213" s="65" t="n">
        <v>100</v>
      </c>
      <c r="L213" s="66">
        <f>ROUND((G213/MAX($G$5:$G$271)*100*0.4)+(J213*0.35)+(K213*0.25),1)</f>
        <v/>
      </c>
      <c r="M213" s="63">
        <f>IF(L213&gt;=62,"1 - Do now",IF(L213&gt;=52,"2 - Next",IF(L213&gt;=44,"3 - Later","4 - Backlog")))</f>
        <v/>
      </c>
      <c r="N213" s="63" t="inlineStr">
        <is>
          <t>/locations</t>
        </is>
      </c>
    </row>
    <row r="214" ht="15" customHeight="1" s="54">
      <c r="A214" s="67" t="n">
        <v>210</v>
      </c>
      <c r="B214" s="67" t="inlineStr">
        <is>
          <t>scrap baling press machine in gurgaon</t>
        </is>
      </c>
      <c r="C214" s="67" t="inlineStr">
        <is>
          <t>Local SEO</t>
        </is>
      </c>
      <c r="D214" s="67" t="inlineStr">
        <is>
          <t>Local</t>
        </is>
      </c>
      <c r="E214" s="67" t="inlineStr">
        <is>
          <t>Transactional</t>
        </is>
      </c>
      <c r="F214" s="67" t="inlineStr">
        <is>
          <t>India</t>
        </is>
      </c>
      <c r="G214" s="68" t="n">
        <v>110</v>
      </c>
      <c r="H214" s="68" t="n">
        <v>22</v>
      </c>
      <c r="I214" s="68" t="n">
        <v>18</v>
      </c>
      <c r="J214" s="69">
        <f>100-I214</f>
        <v/>
      </c>
      <c r="K214" s="69" t="n">
        <v>100</v>
      </c>
      <c r="L214" s="70">
        <f>ROUND((G214/MAX($G$5:$G$271)*100*0.4)+(J214*0.35)+(K214*0.25),1)</f>
        <v/>
      </c>
      <c r="M214" s="67">
        <f>IF(L214&gt;=62,"1 - Do now",IF(L214&gt;=52,"2 - Next",IF(L214&gt;=44,"3 - Later","4 - Backlog")))</f>
        <v/>
      </c>
      <c r="N214" s="67" t="inlineStr">
        <is>
          <t>/locations</t>
        </is>
      </c>
    </row>
    <row r="215" ht="15" customHeight="1" s="54">
      <c r="A215" s="63" t="n">
        <v>211</v>
      </c>
      <c r="B215" s="63" t="inlineStr">
        <is>
          <t>baler machine manufacturer in alwar</t>
        </is>
      </c>
      <c r="C215" s="63" t="inlineStr">
        <is>
          <t>Local SEO</t>
        </is>
      </c>
      <c r="D215" s="63" t="inlineStr">
        <is>
          <t>Local</t>
        </is>
      </c>
      <c r="E215" s="63" t="inlineStr">
        <is>
          <t>Transactional</t>
        </is>
      </c>
      <c r="F215" s="63" t="inlineStr">
        <is>
          <t>India</t>
        </is>
      </c>
      <c r="G215" s="64" t="n">
        <v>62</v>
      </c>
      <c r="H215" s="64" t="n">
        <v>13</v>
      </c>
      <c r="I215" s="64" t="n">
        <v>6</v>
      </c>
      <c r="J215" s="65">
        <f>100-I215</f>
        <v/>
      </c>
      <c r="K215" s="65" t="n">
        <v>100</v>
      </c>
      <c r="L215" s="66">
        <f>ROUND((G215/MAX($G$5:$G$271)*100*0.4)+(J215*0.35)+(K215*0.25),1)</f>
        <v/>
      </c>
      <c r="M215" s="63">
        <f>IF(L215&gt;=62,"1 - Do now",IF(L215&gt;=52,"2 - Next",IF(L215&gt;=44,"3 - Later","4 - Backlog")))</f>
        <v/>
      </c>
      <c r="N215" s="63" t="inlineStr">
        <is>
          <t>/locations</t>
        </is>
      </c>
    </row>
    <row r="216" ht="15" customHeight="1" s="54">
      <c r="A216" s="67" t="n">
        <v>212</v>
      </c>
      <c r="B216" s="67" t="inlineStr">
        <is>
          <t>baler machine manufacturer in jaipur</t>
        </is>
      </c>
      <c r="C216" s="67" t="inlineStr">
        <is>
          <t>Local SEO</t>
        </is>
      </c>
      <c r="D216" s="67" t="inlineStr">
        <is>
          <t>Local</t>
        </is>
      </c>
      <c r="E216" s="67" t="inlineStr">
        <is>
          <t>Transactional</t>
        </is>
      </c>
      <c r="F216" s="67" t="inlineStr">
        <is>
          <t>India</t>
        </is>
      </c>
      <c r="G216" s="68" t="n">
        <v>118</v>
      </c>
      <c r="H216" s="68" t="n">
        <v>25</v>
      </c>
      <c r="I216" s="68" t="n">
        <v>12</v>
      </c>
      <c r="J216" s="69">
        <f>100-I216</f>
        <v/>
      </c>
      <c r="K216" s="69" t="n">
        <v>100</v>
      </c>
      <c r="L216" s="70">
        <f>ROUND((G216/MAX($G$5:$G$271)*100*0.4)+(J216*0.35)+(K216*0.25),1)</f>
        <v/>
      </c>
      <c r="M216" s="67">
        <f>IF(L216&gt;=62,"1 - Do now",IF(L216&gt;=52,"2 - Next",IF(L216&gt;=44,"3 - Later","4 - Backlog")))</f>
        <v/>
      </c>
      <c r="N216" s="67" t="inlineStr">
        <is>
          <t>/locations</t>
        </is>
      </c>
    </row>
    <row r="217" ht="15" customHeight="1" s="54">
      <c r="A217" s="63" t="n">
        <v>213</v>
      </c>
      <c r="B217" s="63" t="inlineStr">
        <is>
          <t>baler machine manufacturer in delhi ncr</t>
        </is>
      </c>
      <c r="C217" s="63" t="inlineStr">
        <is>
          <t>Local SEO</t>
        </is>
      </c>
      <c r="D217" s="63" t="inlineStr">
        <is>
          <t>Local</t>
        </is>
      </c>
      <c r="E217" s="63" t="inlineStr">
        <is>
          <t>Transactional</t>
        </is>
      </c>
      <c r="F217" s="63" t="inlineStr">
        <is>
          <t>India</t>
        </is>
      </c>
      <c r="G217" s="64" t="n">
        <v>224</v>
      </c>
      <c r="H217" s="64" t="n">
        <v>48</v>
      </c>
      <c r="I217" s="64" t="n">
        <v>22</v>
      </c>
      <c r="J217" s="65">
        <f>100-I217</f>
        <v/>
      </c>
      <c r="K217" s="65" t="n">
        <v>100</v>
      </c>
      <c r="L217" s="66">
        <f>ROUND((G217/MAX($G$5:$G$271)*100*0.4)+(J217*0.35)+(K217*0.25),1)</f>
        <v/>
      </c>
      <c r="M217" s="63">
        <f>IF(L217&gt;=62,"1 - Do now",IF(L217&gt;=52,"2 - Next",IF(L217&gt;=44,"3 - Later","4 - Backlog")))</f>
        <v/>
      </c>
      <c r="N217" s="63" t="inlineStr">
        <is>
          <t>/locations</t>
        </is>
      </c>
    </row>
    <row r="218" ht="15" customHeight="1" s="54">
      <c r="A218" s="67" t="n">
        <v>214</v>
      </c>
      <c r="B218" s="67" t="inlineStr">
        <is>
          <t>baler machine manufacturer in ahmedabad</t>
        </is>
      </c>
      <c r="C218" s="67" t="inlineStr">
        <is>
          <t>Local SEO</t>
        </is>
      </c>
      <c r="D218" s="67" t="inlineStr">
        <is>
          <t>Local</t>
        </is>
      </c>
      <c r="E218" s="67" t="inlineStr">
        <is>
          <t>Transactional</t>
        </is>
      </c>
      <c r="F218" s="67" t="inlineStr">
        <is>
          <t>India</t>
        </is>
      </c>
      <c r="G218" s="68" t="n">
        <v>182</v>
      </c>
      <c r="H218" s="68" t="n">
        <v>39</v>
      </c>
      <c r="I218" s="68" t="n">
        <v>20</v>
      </c>
      <c r="J218" s="69">
        <f>100-I218</f>
        <v/>
      </c>
      <c r="K218" s="69" t="n">
        <v>100</v>
      </c>
      <c r="L218" s="70">
        <f>ROUND((G218/MAX($G$5:$G$271)*100*0.4)+(J218*0.35)+(K218*0.25),1)</f>
        <v/>
      </c>
      <c r="M218" s="67">
        <f>IF(L218&gt;=62,"1 - Do now",IF(L218&gt;=52,"2 - Next",IF(L218&gt;=44,"3 - Later","4 - Backlog")))</f>
        <v/>
      </c>
      <c r="N218" s="67" t="inlineStr">
        <is>
          <t>/locations</t>
        </is>
      </c>
    </row>
    <row r="219" ht="15" customHeight="1" s="54">
      <c r="A219" s="63" t="n">
        <v>215</v>
      </c>
      <c r="B219" s="63" t="inlineStr">
        <is>
          <t>baler machine manufacturer in mandi gobindgarh</t>
        </is>
      </c>
      <c r="C219" s="63" t="inlineStr">
        <is>
          <t>Local SEO</t>
        </is>
      </c>
      <c r="D219" s="63" t="inlineStr">
        <is>
          <t>Local</t>
        </is>
      </c>
      <c r="E219" s="63" t="inlineStr">
        <is>
          <t>Transactional</t>
        </is>
      </c>
      <c r="F219" s="63" t="inlineStr">
        <is>
          <t>India</t>
        </is>
      </c>
      <c r="G219" s="64" t="n">
        <v>147</v>
      </c>
      <c r="H219" s="64" t="n">
        <v>31</v>
      </c>
      <c r="I219" s="64" t="n">
        <v>13</v>
      </c>
      <c r="J219" s="65">
        <f>100-I219</f>
        <v/>
      </c>
      <c r="K219" s="65" t="n">
        <v>100</v>
      </c>
      <c r="L219" s="66">
        <f>ROUND((G219/MAX($G$5:$G$271)*100*0.4)+(J219*0.35)+(K219*0.25),1)</f>
        <v/>
      </c>
      <c r="M219" s="63">
        <f>IF(L219&gt;=62,"1 - Do now",IF(L219&gt;=52,"2 - Next",IF(L219&gt;=44,"3 - Later","4 - Backlog")))</f>
        <v/>
      </c>
      <c r="N219" s="63" t="inlineStr">
        <is>
          <t>/locations</t>
        </is>
      </c>
    </row>
    <row r="220" ht="15" customHeight="1" s="54">
      <c r="A220" s="67" t="n">
        <v>216</v>
      </c>
      <c r="B220" s="67" t="inlineStr">
        <is>
          <t>baler machine manufacturer in ludhiana</t>
        </is>
      </c>
      <c r="C220" s="67" t="inlineStr">
        <is>
          <t>Local SEO</t>
        </is>
      </c>
      <c r="D220" s="67" t="inlineStr">
        <is>
          <t>Local</t>
        </is>
      </c>
      <c r="E220" s="67" t="inlineStr">
        <is>
          <t>Transactional</t>
        </is>
      </c>
      <c r="F220" s="67" t="inlineStr">
        <is>
          <t>India</t>
        </is>
      </c>
      <c r="G220" s="68" t="n">
        <v>133</v>
      </c>
      <c r="H220" s="68" t="n">
        <v>28</v>
      </c>
      <c r="I220" s="68" t="n">
        <v>15</v>
      </c>
      <c r="J220" s="69">
        <f>100-I220</f>
        <v/>
      </c>
      <c r="K220" s="69" t="n">
        <v>100</v>
      </c>
      <c r="L220" s="70">
        <f>ROUND((G220/MAX($G$5:$G$271)*100*0.4)+(J220*0.35)+(K220*0.25),1)</f>
        <v/>
      </c>
      <c r="M220" s="67">
        <f>IF(L220&gt;=62,"1 - Do now",IF(L220&gt;=52,"2 - Next",IF(L220&gt;=44,"3 - Later","4 - Backlog")))</f>
        <v/>
      </c>
      <c r="N220" s="67" t="inlineStr">
        <is>
          <t>/locations</t>
        </is>
      </c>
    </row>
    <row r="221" ht="15" customHeight="1" s="54">
      <c r="A221" s="63" t="n">
        <v>217</v>
      </c>
      <c r="B221" s="63" t="inlineStr">
        <is>
          <t>baler machine manufacturer in mumbai</t>
        </is>
      </c>
      <c r="C221" s="63" t="inlineStr">
        <is>
          <t>Local SEO</t>
        </is>
      </c>
      <c r="D221" s="63" t="inlineStr">
        <is>
          <t>Local</t>
        </is>
      </c>
      <c r="E221" s="63" t="inlineStr">
        <is>
          <t>Transactional</t>
        </is>
      </c>
      <c r="F221" s="63" t="inlineStr">
        <is>
          <t>India</t>
        </is>
      </c>
      <c r="G221" s="64" t="n">
        <v>182</v>
      </c>
      <c r="H221" s="64" t="n">
        <v>39</v>
      </c>
      <c r="I221" s="64" t="n">
        <v>23</v>
      </c>
      <c r="J221" s="65">
        <f>100-I221</f>
        <v/>
      </c>
      <c r="K221" s="65" t="n">
        <v>100</v>
      </c>
      <c r="L221" s="66">
        <f>ROUND((G221/MAX($G$5:$G$271)*100*0.4)+(J221*0.35)+(K221*0.25),1)</f>
        <v/>
      </c>
      <c r="M221" s="63">
        <f>IF(L221&gt;=62,"1 - Do now",IF(L221&gt;=52,"2 - Next",IF(L221&gt;=44,"3 - Later","4 - Backlog")))</f>
        <v/>
      </c>
      <c r="N221" s="63" t="inlineStr">
        <is>
          <t>/locations</t>
        </is>
      </c>
    </row>
    <row r="222" ht="15" customHeight="1" s="54">
      <c r="A222" s="67" t="n">
        <v>218</v>
      </c>
      <c r="B222" s="67" t="inlineStr">
        <is>
          <t>baler machine manufacturer in chennai</t>
        </is>
      </c>
      <c r="C222" s="67" t="inlineStr">
        <is>
          <t>Local SEO</t>
        </is>
      </c>
      <c r="D222" s="67" t="inlineStr">
        <is>
          <t>Local</t>
        </is>
      </c>
      <c r="E222" s="67" t="inlineStr">
        <is>
          <t>Transactional</t>
        </is>
      </c>
      <c r="F222" s="67" t="inlineStr">
        <is>
          <t>India</t>
        </is>
      </c>
      <c r="G222" s="68" t="n">
        <v>147</v>
      </c>
      <c r="H222" s="68" t="n">
        <v>31</v>
      </c>
      <c r="I222" s="68" t="n">
        <v>20</v>
      </c>
      <c r="J222" s="69">
        <f>100-I222</f>
        <v/>
      </c>
      <c r="K222" s="69" t="n">
        <v>100</v>
      </c>
      <c r="L222" s="70">
        <f>ROUND((G222/MAX($G$5:$G$271)*100*0.4)+(J222*0.35)+(K222*0.25),1)</f>
        <v/>
      </c>
      <c r="M222" s="67">
        <f>IF(L222&gt;=62,"1 - Do now",IF(L222&gt;=52,"2 - Next",IF(L222&gt;=44,"3 - Later","4 - Backlog")))</f>
        <v/>
      </c>
      <c r="N222" s="67" t="inlineStr">
        <is>
          <t>/locations</t>
        </is>
      </c>
    </row>
    <row r="223" ht="15" customHeight="1" s="54">
      <c r="A223" s="63" t="n">
        <v>219</v>
      </c>
      <c r="B223" s="63" t="inlineStr">
        <is>
          <t>baler machine manufacturer in pune</t>
        </is>
      </c>
      <c r="C223" s="63" t="inlineStr">
        <is>
          <t>Local SEO</t>
        </is>
      </c>
      <c r="D223" s="63" t="inlineStr">
        <is>
          <t>Local</t>
        </is>
      </c>
      <c r="E223" s="63" t="inlineStr">
        <is>
          <t>Transactional</t>
        </is>
      </c>
      <c r="F223" s="63" t="inlineStr">
        <is>
          <t>India</t>
        </is>
      </c>
      <c r="G223" s="64" t="n">
        <v>118</v>
      </c>
      <c r="H223" s="64" t="n">
        <v>25</v>
      </c>
      <c r="I223" s="64" t="n">
        <v>18</v>
      </c>
      <c r="J223" s="65">
        <f>100-I223</f>
        <v/>
      </c>
      <c r="K223" s="65" t="n">
        <v>100</v>
      </c>
      <c r="L223" s="66">
        <f>ROUND((G223/MAX($G$5:$G$271)*100*0.4)+(J223*0.35)+(K223*0.25),1)</f>
        <v/>
      </c>
      <c r="M223" s="63">
        <f>IF(L223&gt;=62,"1 - Do now",IF(L223&gt;=52,"2 - Next",IF(L223&gt;=44,"3 - Later","4 - Backlog")))</f>
        <v/>
      </c>
      <c r="N223" s="63" t="inlineStr">
        <is>
          <t>/locations</t>
        </is>
      </c>
    </row>
    <row r="224" ht="15" customHeight="1" s="54">
      <c r="A224" s="67" t="n">
        <v>220</v>
      </c>
      <c r="B224" s="67" t="inlineStr">
        <is>
          <t>baler machine manufacturer in kolkata</t>
        </is>
      </c>
      <c r="C224" s="67" t="inlineStr">
        <is>
          <t>Local SEO</t>
        </is>
      </c>
      <c r="D224" s="67" t="inlineStr">
        <is>
          <t>Local</t>
        </is>
      </c>
      <c r="E224" s="67" t="inlineStr">
        <is>
          <t>Transactional</t>
        </is>
      </c>
      <c r="F224" s="67" t="inlineStr">
        <is>
          <t>India</t>
        </is>
      </c>
      <c r="G224" s="68" t="n">
        <v>98</v>
      </c>
      <c r="H224" s="68" t="n">
        <v>21</v>
      </c>
      <c r="I224" s="68" t="n">
        <v>17</v>
      </c>
      <c r="J224" s="69">
        <f>100-I224</f>
        <v/>
      </c>
      <c r="K224" s="69" t="n">
        <v>100</v>
      </c>
      <c r="L224" s="70">
        <f>ROUND((G224/MAX($G$5:$G$271)*100*0.4)+(J224*0.35)+(K224*0.25),1)</f>
        <v/>
      </c>
      <c r="M224" s="67">
        <f>IF(L224&gt;=62,"1 - Do now",IF(L224&gt;=52,"2 - Next",IF(L224&gt;=44,"3 - Later","4 - Backlog")))</f>
        <v/>
      </c>
      <c r="N224" s="67" t="inlineStr">
        <is>
          <t>/locations</t>
        </is>
      </c>
    </row>
    <row r="225" ht="15" customHeight="1" s="54">
      <c r="A225" s="63" t="n">
        <v>221</v>
      </c>
      <c r="B225" s="63" t="inlineStr">
        <is>
          <t>scrap baling press exporter from india</t>
        </is>
      </c>
      <c r="C225" s="63" t="inlineStr">
        <is>
          <t>Export</t>
        </is>
      </c>
      <c r="D225" s="63" t="inlineStr">
        <is>
          <t>Export</t>
        </is>
      </c>
      <c r="E225" s="63" t="inlineStr">
        <is>
          <t>Transactional</t>
        </is>
      </c>
      <c r="F225" s="63" t="inlineStr">
        <is>
          <t>Export</t>
        </is>
      </c>
      <c r="G225" s="64" t="n">
        <v>170</v>
      </c>
      <c r="H225" s="64" t="n">
        <v>260</v>
      </c>
      <c r="I225" s="64" t="n">
        <v>20</v>
      </c>
      <c r="J225" s="65">
        <f>100-I225</f>
        <v/>
      </c>
      <c r="K225" s="65" t="n">
        <v>100</v>
      </c>
      <c r="L225" s="66">
        <f>ROUND((G225/MAX($G$5:$G$271)*100*0.4)+(J225*0.35)+(K225*0.25),1)</f>
        <v/>
      </c>
      <c r="M225" s="63">
        <f>IF(L225&gt;=62,"1 - Do now",IF(L225&gt;=52,"2 - Next",IF(L225&gt;=44,"3 - Later","4 - Backlog")))</f>
        <v/>
      </c>
      <c r="N225" s="63" t="inlineStr">
        <is>
          <t>/export</t>
        </is>
      </c>
    </row>
    <row r="226" ht="15" customHeight="1" s="54">
      <c r="A226" s="67" t="n">
        <v>222</v>
      </c>
      <c r="B226" s="67" t="inlineStr">
        <is>
          <t>indian recycling equipment manufacturer export</t>
        </is>
      </c>
      <c r="C226" s="67" t="inlineStr">
        <is>
          <t>Export</t>
        </is>
      </c>
      <c r="D226" s="67" t="inlineStr">
        <is>
          <t>Export</t>
        </is>
      </c>
      <c r="E226" s="67" t="inlineStr">
        <is>
          <t>Commercial</t>
        </is>
      </c>
      <c r="F226" s="67" t="inlineStr">
        <is>
          <t>Export</t>
        </is>
      </c>
      <c r="G226" s="68" t="n">
        <v>110</v>
      </c>
      <c r="H226" s="68" t="n">
        <v>210</v>
      </c>
      <c r="I226" s="68" t="n">
        <v>21</v>
      </c>
      <c r="J226" s="69">
        <f>100-I226</f>
        <v/>
      </c>
      <c r="K226" s="69" t="n">
        <v>75</v>
      </c>
      <c r="L226" s="70">
        <f>ROUND((G226/MAX($G$5:$G$271)*100*0.4)+(J226*0.35)+(K226*0.25),1)</f>
        <v/>
      </c>
      <c r="M226" s="67">
        <f>IF(L226&gt;=62,"1 - Do now",IF(L226&gt;=52,"2 - Next",IF(L226&gt;=44,"3 - Later","4 - Backlog")))</f>
        <v/>
      </c>
      <c r="N226" s="67" t="inlineStr">
        <is>
          <t>/export</t>
        </is>
      </c>
    </row>
    <row r="227" ht="15" customHeight="1" s="54">
      <c r="A227" s="63" t="n">
        <v>223</v>
      </c>
      <c r="B227" s="63" t="inlineStr">
        <is>
          <t>recycling machinery supplier middle east</t>
        </is>
      </c>
      <c r="C227" s="63" t="inlineStr">
        <is>
          <t>Export</t>
        </is>
      </c>
      <c r="D227" s="63" t="inlineStr">
        <is>
          <t>Export</t>
        </is>
      </c>
      <c r="E227" s="63" t="inlineStr">
        <is>
          <t>Commercial</t>
        </is>
      </c>
      <c r="F227" s="63" t="inlineStr">
        <is>
          <t>Export</t>
        </is>
      </c>
      <c r="G227" s="64" t="n">
        <v>90</v>
      </c>
      <c r="H227" s="64" t="n">
        <v>390</v>
      </c>
      <c r="I227" s="64" t="n">
        <v>25</v>
      </c>
      <c r="J227" s="65">
        <f>100-I227</f>
        <v/>
      </c>
      <c r="K227" s="65" t="n">
        <v>75</v>
      </c>
      <c r="L227" s="66">
        <f>ROUND((G227/MAX($G$5:$G$271)*100*0.4)+(J227*0.35)+(K227*0.25),1)</f>
        <v/>
      </c>
      <c r="M227" s="63">
        <f>IF(L227&gt;=62,"1 - Do now",IF(L227&gt;=52,"2 - Next",IF(L227&gt;=44,"3 - Later","4 - Backlog")))</f>
        <v/>
      </c>
      <c r="N227" s="63" t="inlineStr">
        <is>
          <t>/export</t>
        </is>
      </c>
    </row>
    <row r="228" ht="15" customHeight="1" s="54">
      <c r="A228" s="67" t="n">
        <v>224</v>
      </c>
      <c r="B228" s="67" t="inlineStr">
        <is>
          <t>baling press machine africa</t>
        </is>
      </c>
      <c r="C228" s="67" t="inlineStr">
        <is>
          <t>Export</t>
        </is>
      </c>
      <c r="D228" s="67" t="inlineStr">
        <is>
          <t>Export</t>
        </is>
      </c>
      <c r="E228" s="67" t="inlineStr">
        <is>
          <t>Commercial</t>
        </is>
      </c>
      <c r="F228" s="67" t="inlineStr">
        <is>
          <t>Export</t>
        </is>
      </c>
      <c r="G228" s="68" t="n">
        <v>70</v>
      </c>
      <c r="H228" s="68" t="n">
        <v>320</v>
      </c>
      <c r="I228" s="68" t="n">
        <v>22</v>
      </c>
      <c r="J228" s="69">
        <f>100-I228</f>
        <v/>
      </c>
      <c r="K228" s="69" t="n">
        <v>75</v>
      </c>
      <c r="L228" s="70">
        <f>ROUND((G228/MAX($G$5:$G$271)*100*0.4)+(J228*0.35)+(K228*0.25),1)</f>
        <v/>
      </c>
      <c r="M228" s="67">
        <f>IF(L228&gt;=62,"1 - Do now",IF(L228&gt;=52,"2 - Next",IF(L228&gt;=44,"3 - Later","4 - Backlog")))</f>
        <v/>
      </c>
      <c r="N228" s="67" t="inlineStr">
        <is>
          <t>/export</t>
        </is>
      </c>
    </row>
    <row r="229" ht="15" customHeight="1" s="54">
      <c r="A229" s="63" t="n">
        <v>225</v>
      </c>
      <c r="B229" s="63" t="inlineStr">
        <is>
          <t>scrap baler supplier uae dubai</t>
        </is>
      </c>
      <c r="C229" s="63" t="inlineStr">
        <is>
          <t>Export</t>
        </is>
      </c>
      <c r="D229" s="63" t="inlineStr">
        <is>
          <t>Export</t>
        </is>
      </c>
      <c r="E229" s="63" t="inlineStr">
        <is>
          <t>Transactional</t>
        </is>
      </c>
      <c r="F229" s="63" t="inlineStr">
        <is>
          <t>Export</t>
        </is>
      </c>
      <c r="G229" s="64" t="n">
        <v>90</v>
      </c>
      <c r="H229" s="64" t="n">
        <v>480</v>
      </c>
      <c r="I229" s="64" t="n">
        <v>24</v>
      </c>
      <c r="J229" s="65">
        <f>100-I229</f>
        <v/>
      </c>
      <c r="K229" s="65" t="n">
        <v>100</v>
      </c>
      <c r="L229" s="66">
        <f>ROUND((G229/MAX($G$5:$G$271)*100*0.4)+(J229*0.35)+(K229*0.25),1)</f>
        <v/>
      </c>
      <c r="M229" s="63">
        <f>IF(L229&gt;=62,"1 - Do now",IF(L229&gt;=52,"2 - Next",IF(L229&gt;=44,"3 - Later","4 - Backlog")))</f>
        <v/>
      </c>
      <c r="N229" s="63" t="inlineStr">
        <is>
          <t>/export</t>
        </is>
      </c>
    </row>
    <row r="230" ht="15" customHeight="1" s="54">
      <c r="A230" s="67" t="n">
        <v>226</v>
      </c>
      <c r="B230" s="67" t="inlineStr">
        <is>
          <t>recycling equipment supplier saudi arabia</t>
        </is>
      </c>
      <c r="C230" s="67" t="inlineStr">
        <is>
          <t>Export</t>
        </is>
      </c>
      <c r="D230" s="67" t="inlineStr">
        <is>
          <t>Export</t>
        </is>
      </c>
      <c r="E230" s="67" t="inlineStr">
        <is>
          <t>Commercial</t>
        </is>
      </c>
      <c r="F230" s="67" t="inlineStr">
        <is>
          <t>Export</t>
        </is>
      </c>
      <c r="G230" s="68" t="n">
        <v>70</v>
      </c>
      <c r="H230" s="68" t="n">
        <v>390</v>
      </c>
      <c r="I230" s="68" t="n">
        <v>23</v>
      </c>
      <c r="J230" s="69">
        <f>100-I230</f>
        <v/>
      </c>
      <c r="K230" s="69" t="n">
        <v>75</v>
      </c>
      <c r="L230" s="70">
        <f>ROUND((G230/MAX($G$5:$G$271)*100*0.4)+(J230*0.35)+(K230*0.25),1)</f>
        <v/>
      </c>
      <c r="M230" s="67">
        <f>IF(L230&gt;=62,"1 - Do now",IF(L230&gt;=52,"2 - Next",IF(L230&gt;=44,"3 - Later","4 - Backlog")))</f>
        <v/>
      </c>
      <c r="N230" s="67" t="inlineStr">
        <is>
          <t>/export</t>
        </is>
      </c>
    </row>
    <row r="231" ht="15" customHeight="1" s="54">
      <c r="A231" s="63" t="n">
        <v>227</v>
      </c>
      <c r="B231" s="63" t="inlineStr">
        <is>
          <t>baling machine supplier bangladesh</t>
        </is>
      </c>
      <c r="C231" s="63" t="inlineStr">
        <is>
          <t>Export</t>
        </is>
      </c>
      <c r="D231" s="63" t="inlineStr">
        <is>
          <t>Export</t>
        </is>
      </c>
      <c r="E231" s="63" t="inlineStr">
        <is>
          <t>Transactional</t>
        </is>
      </c>
      <c r="F231" s="63" t="inlineStr">
        <is>
          <t>Export</t>
        </is>
      </c>
      <c r="G231" s="64" t="n">
        <v>50</v>
      </c>
      <c r="H231" s="64" t="n">
        <v>210</v>
      </c>
      <c r="I231" s="64" t="n">
        <v>17</v>
      </c>
      <c r="J231" s="65">
        <f>100-I231</f>
        <v/>
      </c>
      <c r="K231" s="65" t="n">
        <v>100</v>
      </c>
      <c r="L231" s="66">
        <f>ROUND((G231/MAX($G$5:$G$271)*100*0.4)+(J231*0.35)+(K231*0.25),1)</f>
        <v/>
      </c>
      <c r="M231" s="63">
        <f>IF(L231&gt;=62,"1 - Do now",IF(L231&gt;=52,"2 - Next",IF(L231&gt;=44,"3 - Later","4 - Backlog")))</f>
        <v/>
      </c>
      <c r="N231" s="63" t="inlineStr">
        <is>
          <t>/export</t>
        </is>
      </c>
    </row>
    <row r="232" ht="15" customHeight="1" s="54">
      <c r="A232" s="67" t="n">
        <v>228</v>
      </c>
      <c r="B232" s="67" t="inlineStr">
        <is>
          <t>scrap machinery exporter sri lanka</t>
        </is>
      </c>
      <c r="C232" s="67" t="inlineStr">
        <is>
          <t>Export</t>
        </is>
      </c>
      <c r="D232" s="67" t="inlineStr">
        <is>
          <t>Export</t>
        </is>
      </c>
      <c r="E232" s="67" t="inlineStr">
        <is>
          <t>Transactional</t>
        </is>
      </c>
      <c r="F232" s="67" t="inlineStr">
        <is>
          <t>Export</t>
        </is>
      </c>
      <c r="G232" s="68" t="n">
        <v>40</v>
      </c>
      <c r="H232" s="68" t="n">
        <v>140</v>
      </c>
      <c r="I232" s="68" t="n">
        <v>14</v>
      </c>
      <c r="J232" s="69">
        <f>100-I232</f>
        <v/>
      </c>
      <c r="K232" s="69" t="n">
        <v>100</v>
      </c>
      <c r="L232" s="70">
        <f>ROUND((G232/MAX($G$5:$G$271)*100*0.4)+(J232*0.35)+(K232*0.25),1)</f>
        <v/>
      </c>
      <c r="M232" s="67">
        <f>IF(L232&gt;=62,"1 - Do now",IF(L232&gt;=52,"2 - Next",IF(L232&gt;=44,"3 - Later","4 - Backlog")))</f>
        <v/>
      </c>
      <c r="N232" s="67" t="inlineStr">
        <is>
          <t>/export</t>
        </is>
      </c>
    </row>
    <row r="233" ht="15" customHeight="1" s="54">
      <c r="A233" s="63" t="n">
        <v>229</v>
      </c>
      <c r="B233" s="63" t="inlineStr">
        <is>
          <t>recycling machine supplier nigeria kenya</t>
        </is>
      </c>
      <c r="C233" s="63" t="inlineStr">
        <is>
          <t>Export</t>
        </is>
      </c>
      <c r="D233" s="63" t="inlineStr">
        <is>
          <t>Export</t>
        </is>
      </c>
      <c r="E233" s="63" t="inlineStr">
        <is>
          <t>Commercial</t>
        </is>
      </c>
      <c r="F233" s="63" t="inlineStr">
        <is>
          <t>Export</t>
        </is>
      </c>
      <c r="G233" s="64" t="n">
        <v>50</v>
      </c>
      <c r="H233" s="64" t="n">
        <v>260</v>
      </c>
      <c r="I233" s="64" t="n">
        <v>19</v>
      </c>
      <c r="J233" s="65">
        <f>100-I233</f>
        <v/>
      </c>
      <c r="K233" s="65" t="n">
        <v>75</v>
      </c>
      <c r="L233" s="66">
        <f>ROUND((G233/MAX($G$5:$G$271)*100*0.4)+(J233*0.35)+(K233*0.25),1)</f>
        <v/>
      </c>
      <c r="M233" s="63">
        <f>IF(L233&gt;=62,"1 - Do now",IF(L233&gt;=52,"2 - Next",IF(L233&gt;=44,"3 - Later","4 - Backlog")))</f>
        <v/>
      </c>
      <c r="N233" s="63" t="inlineStr">
        <is>
          <t>/export</t>
        </is>
      </c>
    </row>
    <row r="234" ht="15" customHeight="1" s="54">
      <c r="A234" s="67" t="n">
        <v>230</v>
      </c>
      <c r="B234" s="67" t="inlineStr">
        <is>
          <t>cif fob terms machinery import india</t>
        </is>
      </c>
      <c r="C234" s="67" t="inlineStr">
        <is>
          <t>Export</t>
        </is>
      </c>
      <c r="D234" s="67" t="inlineStr">
        <is>
          <t>Export</t>
        </is>
      </c>
      <c r="E234" s="67" t="inlineStr">
        <is>
          <t>Informational</t>
        </is>
      </c>
      <c r="F234" s="67" t="inlineStr">
        <is>
          <t>Export</t>
        </is>
      </c>
      <c r="G234" s="68" t="n">
        <v>90</v>
      </c>
      <c r="H234" s="68" t="n">
        <v>590</v>
      </c>
      <c r="I234" s="68" t="n">
        <v>22</v>
      </c>
      <c r="J234" s="69">
        <f>100-I234</f>
        <v/>
      </c>
      <c r="K234" s="69" t="n">
        <v>40</v>
      </c>
      <c r="L234" s="70">
        <f>ROUND((G234/MAX($G$5:$G$271)*100*0.4)+(J234*0.35)+(K234*0.25),1)</f>
        <v/>
      </c>
      <c r="M234" s="67">
        <f>IF(L234&gt;=62,"1 - Do now",IF(L234&gt;=52,"2 - Next",IF(L234&gt;=44,"3 - Later","4 - Backlog")))</f>
        <v/>
      </c>
      <c r="N234" s="67" t="inlineStr">
        <is>
          <t>/blog/export-terms</t>
        </is>
      </c>
    </row>
    <row r="235" ht="15" customHeight="1" s="54">
      <c r="A235" s="63" t="n">
        <v>231</v>
      </c>
      <c r="B235" s="63" t="inlineStr">
        <is>
          <t>machinery export documentation india</t>
        </is>
      </c>
      <c r="C235" s="63" t="inlineStr">
        <is>
          <t>Export</t>
        </is>
      </c>
      <c r="D235" s="63" t="inlineStr">
        <is>
          <t>Export</t>
        </is>
      </c>
      <c r="E235" s="63" t="inlineStr">
        <is>
          <t>Informational</t>
        </is>
      </c>
      <c r="F235" s="63" t="inlineStr">
        <is>
          <t>Export</t>
        </is>
      </c>
      <c r="G235" s="64" t="n">
        <v>140</v>
      </c>
      <c r="H235" s="64" t="n">
        <v>320</v>
      </c>
      <c r="I235" s="64" t="n">
        <v>24</v>
      </c>
      <c r="J235" s="65">
        <f>100-I235</f>
        <v/>
      </c>
      <c r="K235" s="65" t="n">
        <v>40</v>
      </c>
      <c r="L235" s="66">
        <f>ROUND((G235/MAX($G$5:$G$271)*100*0.4)+(J235*0.35)+(K235*0.25),1)</f>
        <v/>
      </c>
      <c r="M235" s="63">
        <f>IF(L235&gt;=62,"1 - Do now",IF(L235&gt;=52,"2 - Next",IF(L235&gt;=44,"3 - Later","4 - Backlog")))</f>
        <v/>
      </c>
      <c r="N235" s="63" t="inlineStr">
        <is>
          <t>/blog/export-docs</t>
        </is>
      </c>
    </row>
    <row r="236" ht="15" customHeight="1" s="54">
      <c r="A236" s="67" t="n">
        <v>232</v>
      </c>
      <c r="B236" s="67" t="inlineStr">
        <is>
          <t>what motor hp is needed for a scrap baler</t>
        </is>
      </c>
      <c r="C236" s="67" t="inlineStr">
        <is>
          <t>Long-tail Questions</t>
        </is>
      </c>
      <c r="D236" s="67" t="inlineStr">
        <is>
          <t>Question</t>
        </is>
      </c>
      <c r="E236" s="67" t="inlineStr">
        <is>
          <t>Informational</t>
        </is>
      </c>
      <c r="F236" s="67" t="inlineStr">
        <is>
          <t>All</t>
        </is>
      </c>
      <c r="G236" s="68" t="n">
        <v>40</v>
      </c>
      <c r="H236" s="68" t="n">
        <v>210</v>
      </c>
      <c r="I236" s="68" t="n">
        <v>8</v>
      </c>
      <c r="J236" s="69">
        <f>100-I236</f>
        <v/>
      </c>
      <c r="K236" s="69" t="n">
        <v>40</v>
      </c>
      <c r="L236" s="70">
        <f>ROUND((G236/MAX($G$5:$G$271)*100*0.4)+(J236*0.35)+(K236*0.25),1)</f>
        <v/>
      </c>
      <c r="M236" s="67">
        <f>IF(L236&gt;=62,"1 - Do now",IF(L236&gt;=52,"2 - Next",IF(L236&gt;=44,"3 - Later","4 - Backlog")))</f>
        <v/>
      </c>
      <c r="N236" s="67" t="inlineStr">
        <is>
          <t>/blog/baler-throughput</t>
        </is>
      </c>
    </row>
    <row r="237" ht="15" customHeight="1" s="54">
      <c r="A237" s="63" t="n">
        <v>233</v>
      </c>
      <c r="B237" s="63" t="inlineStr">
        <is>
          <t>how many tons per hour can a baling press do</t>
        </is>
      </c>
      <c r="C237" s="63" t="inlineStr">
        <is>
          <t>Long-tail Questions</t>
        </is>
      </c>
      <c r="D237" s="63" t="inlineStr">
        <is>
          <t>Question</t>
        </is>
      </c>
      <c r="E237" s="63" t="inlineStr">
        <is>
          <t>Informational</t>
        </is>
      </c>
      <c r="F237" s="63" t="inlineStr">
        <is>
          <t>All</t>
        </is>
      </c>
      <c r="G237" s="64" t="n">
        <v>50</v>
      </c>
      <c r="H237" s="64" t="n">
        <v>390</v>
      </c>
      <c r="I237" s="64" t="n">
        <v>11</v>
      </c>
      <c r="J237" s="65">
        <f>100-I237</f>
        <v/>
      </c>
      <c r="K237" s="65" t="n">
        <v>40</v>
      </c>
      <c r="L237" s="66">
        <f>ROUND((G237/MAX($G$5:$G$271)*100*0.4)+(J237*0.35)+(K237*0.25),1)</f>
        <v/>
      </c>
      <c r="M237" s="63">
        <f>IF(L237&gt;=62,"1 - Do now",IF(L237&gt;=52,"2 - Next",IF(L237&gt;=44,"3 - Later","4 - Backlog")))</f>
        <v/>
      </c>
      <c r="N237" s="63" t="inlineStr">
        <is>
          <t>/blog/baler-throughput</t>
        </is>
      </c>
    </row>
    <row r="238" ht="15" customHeight="1" s="54">
      <c r="A238" s="67" t="n">
        <v>234</v>
      </c>
      <c r="B238" s="67" t="inlineStr">
        <is>
          <t>why is my baler cycle time increasing</t>
        </is>
      </c>
      <c r="C238" s="67" t="inlineStr">
        <is>
          <t>Long-tail Questions</t>
        </is>
      </c>
      <c r="D238" s="67" t="inlineStr">
        <is>
          <t>Question</t>
        </is>
      </c>
      <c r="E238" s="67" t="inlineStr">
        <is>
          <t>Informational</t>
        </is>
      </c>
      <c r="F238" s="67" t="inlineStr">
        <is>
          <t>All</t>
        </is>
      </c>
      <c r="G238" s="68" t="n">
        <v>30</v>
      </c>
      <c r="H238" s="68" t="n">
        <v>260</v>
      </c>
      <c r="I238" s="68" t="n">
        <v>7</v>
      </c>
      <c r="J238" s="69">
        <f>100-I238</f>
        <v/>
      </c>
      <c r="K238" s="69" t="n">
        <v>40</v>
      </c>
      <c r="L238" s="70">
        <f>ROUND((G238/MAX($G$5:$G$271)*100*0.4)+(J238*0.35)+(K238*0.25),1)</f>
        <v/>
      </c>
      <c r="M238" s="67">
        <f>IF(L238&gt;=62,"1 - Do now",IF(L238&gt;=52,"2 - Next",IF(L238&gt;=44,"3 - Later","4 - Backlog")))</f>
        <v/>
      </c>
      <c r="N238" s="67" t="inlineStr">
        <is>
          <t>/blog/baler-troubleshooting</t>
        </is>
      </c>
    </row>
    <row r="239" ht="15" customHeight="1" s="54">
      <c r="A239" s="63" t="n">
        <v>235</v>
      </c>
      <c r="B239" s="63" t="inlineStr">
        <is>
          <t>how long does a baling press last</t>
        </is>
      </c>
      <c r="C239" s="63" t="inlineStr">
        <is>
          <t>Long-tail Questions</t>
        </is>
      </c>
      <c r="D239" s="63" t="inlineStr">
        <is>
          <t>Question</t>
        </is>
      </c>
      <c r="E239" s="63" t="inlineStr">
        <is>
          <t>Informational</t>
        </is>
      </c>
      <c r="F239" s="63" t="inlineStr">
        <is>
          <t>All</t>
        </is>
      </c>
      <c r="G239" s="64" t="n">
        <v>40</v>
      </c>
      <c r="H239" s="64" t="n">
        <v>320</v>
      </c>
      <c r="I239" s="64" t="n">
        <v>10</v>
      </c>
      <c r="J239" s="65">
        <f>100-I239</f>
        <v/>
      </c>
      <c r="K239" s="65" t="n">
        <v>40</v>
      </c>
      <c r="L239" s="66">
        <f>ROUND((G239/MAX($G$5:$G$271)*100*0.4)+(J239*0.35)+(K239*0.25),1)</f>
        <v/>
      </c>
      <c r="M239" s="63">
        <f>IF(L239&gt;=62,"1 - Do now",IF(L239&gt;=52,"2 - Next",IF(L239&gt;=44,"3 - Later","4 - Backlog")))</f>
        <v/>
      </c>
      <c r="N239" s="63" t="inlineStr">
        <is>
          <t>/blog/baler-maintenance</t>
        </is>
      </c>
    </row>
    <row r="240" ht="15" customHeight="1" s="54">
      <c r="A240" s="67" t="n">
        <v>236</v>
      </c>
      <c r="B240" s="67" t="inlineStr">
        <is>
          <t>what size bale do steel mills accept</t>
        </is>
      </c>
      <c r="C240" s="67" t="inlineStr">
        <is>
          <t>Long-tail Questions</t>
        </is>
      </c>
      <c r="D240" s="67" t="inlineStr">
        <is>
          <t>Question</t>
        </is>
      </c>
      <c r="E240" s="67" t="inlineStr">
        <is>
          <t>Informational</t>
        </is>
      </c>
      <c r="F240" s="67" t="inlineStr">
        <is>
          <t>All</t>
        </is>
      </c>
      <c r="G240" s="68" t="n">
        <v>50</v>
      </c>
      <c r="H240" s="68" t="n">
        <v>390</v>
      </c>
      <c r="I240" s="68" t="n">
        <v>12</v>
      </c>
      <c r="J240" s="69">
        <f>100-I240</f>
        <v/>
      </c>
      <c r="K240" s="69" t="n">
        <v>40</v>
      </c>
      <c r="L240" s="70">
        <f>ROUND((G240/MAX($G$5:$G$271)*100*0.4)+(J240*0.35)+(K240*0.25),1)</f>
        <v/>
      </c>
      <c r="M240" s="67">
        <f>IF(L240&gt;=62,"1 - Do now",IF(L240&gt;=52,"2 - Next",IF(L240&gt;=44,"3 - Later","4 - Backlog")))</f>
        <v/>
      </c>
      <c r="N240" s="67" t="inlineStr">
        <is>
          <t>/blog/bale-weight</t>
        </is>
      </c>
    </row>
    <row r="241" ht="15" customHeight="1" s="54">
      <c r="A241" s="63" t="n">
        <v>237</v>
      </c>
      <c r="B241" s="63" t="inlineStr">
        <is>
          <t>do i need a plc on my baling press</t>
        </is>
      </c>
      <c r="C241" s="63" t="inlineStr">
        <is>
          <t>Long-tail Questions</t>
        </is>
      </c>
      <c r="D241" s="63" t="inlineStr">
        <is>
          <t>Question</t>
        </is>
      </c>
      <c r="E241" s="63" t="inlineStr">
        <is>
          <t>Informational</t>
        </is>
      </c>
      <c r="F241" s="63" t="inlineStr">
        <is>
          <t>All</t>
        </is>
      </c>
      <c r="G241" s="64" t="n">
        <v>30</v>
      </c>
      <c r="H241" s="64" t="n">
        <v>170</v>
      </c>
      <c r="I241" s="64" t="n">
        <v>7</v>
      </c>
      <c r="J241" s="65">
        <f>100-I241</f>
        <v/>
      </c>
      <c r="K241" s="65" t="n">
        <v>40</v>
      </c>
      <c r="L241" s="66">
        <f>ROUND((G241/MAX($G$5:$G$271)*100*0.4)+(J241*0.35)+(K241*0.25),1)</f>
        <v/>
      </c>
      <c r="M241" s="63">
        <f>IF(L241&gt;=62,"1 - Do now",IF(L241&gt;=52,"2 - Next",IF(L241&gt;=44,"3 - Later","4 - Backlog")))</f>
        <v/>
      </c>
      <c r="N241" s="63" t="inlineStr">
        <is>
          <t>/blog/plc-vs-manual</t>
        </is>
      </c>
    </row>
    <row r="242" ht="15" customHeight="1" s="54">
      <c r="A242" s="67" t="n">
        <v>238</v>
      </c>
      <c r="B242" s="67" t="inlineStr">
        <is>
          <t>how much power does a scrap baler consume</t>
        </is>
      </c>
      <c r="C242" s="67" t="inlineStr">
        <is>
          <t>Long-tail Questions</t>
        </is>
      </c>
      <c r="D242" s="67" t="inlineStr">
        <is>
          <t>Question</t>
        </is>
      </c>
      <c r="E242" s="67" t="inlineStr">
        <is>
          <t>Informational</t>
        </is>
      </c>
      <c r="F242" s="67" t="inlineStr">
        <is>
          <t>All</t>
        </is>
      </c>
      <c r="G242" s="68" t="n">
        <v>60</v>
      </c>
      <c r="H242" s="68" t="n">
        <v>320</v>
      </c>
      <c r="I242" s="68" t="n">
        <v>11</v>
      </c>
      <c r="J242" s="69">
        <f>100-I242</f>
        <v/>
      </c>
      <c r="K242" s="69" t="n">
        <v>40</v>
      </c>
      <c r="L242" s="70">
        <f>ROUND((G242/MAX($G$5:$G$271)*100*0.4)+(J242*0.35)+(K242*0.25),1)</f>
        <v/>
      </c>
      <c r="M242" s="67">
        <f>IF(L242&gt;=62,"1 - Do now",IF(L242&gt;=52,"2 - Next",IF(L242&gt;=44,"3 - Later","4 - Backlog")))</f>
        <v/>
      </c>
      <c r="N242" s="67" t="inlineStr">
        <is>
          <t>/blog/baler-power</t>
        </is>
      </c>
    </row>
    <row r="243" ht="15" customHeight="1" s="54">
      <c r="A243" s="63" t="n">
        <v>239</v>
      </c>
      <c r="B243" s="63" t="inlineStr">
        <is>
          <t>what is the difference between baler and compactor</t>
        </is>
      </c>
      <c r="C243" s="63" t="inlineStr">
        <is>
          <t>Long-tail Questions</t>
        </is>
      </c>
      <c r="D243" s="63" t="inlineStr">
        <is>
          <t>Question</t>
        </is>
      </c>
      <c r="E243" s="63" t="inlineStr">
        <is>
          <t>Informational</t>
        </is>
      </c>
      <c r="F243" s="63" t="inlineStr">
        <is>
          <t>All</t>
        </is>
      </c>
      <c r="G243" s="64" t="n">
        <v>90</v>
      </c>
      <c r="H243" s="64" t="n">
        <v>880</v>
      </c>
      <c r="I243" s="64" t="n">
        <v>15</v>
      </c>
      <c r="J243" s="65">
        <f>100-I243</f>
        <v/>
      </c>
      <c r="K243" s="65" t="n">
        <v>40</v>
      </c>
      <c r="L243" s="66">
        <f>ROUND((G243/MAX($G$5:$G$271)*100*0.4)+(J243*0.35)+(K243*0.25),1)</f>
        <v/>
      </c>
      <c r="M243" s="63">
        <f>IF(L243&gt;=62,"1 - Do now",IF(L243&gt;=52,"2 - Next",IF(L243&gt;=44,"3 - Later","4 - Backlog")))</f>
        <v/>
      </c>
      <c r="N243" s="63" t="inlineStr">
        <is>
          <t>/blog/baler-vs-compactor</t>
        </is>
      </c>
    </row>
    <row r="244" ht="15" customHeight="1" s="54">
      <c r="A244" s="67" t="n">
        <v>240</v>
      </c>
      <c r="B244" s="67" t="inlineStr">
        <is>
          <t>can a baler handle wet scrap</t>
        </is>
      </c>
      <c r="C244" s="67" t="inlineStr">
        <is>
          <t>Long-tail Questions</t>
        </is>
      </c>
      <c r="D244" s="67" t="inlineStr">
        <is>
          <t>Question</t>
        </is>
      </c>
      <c r="E244" s="67" t="inlineStr">
        <is>
          <t>Informational</t>
        </is>
      </c>
      <c r="F244" s="67" t="inlineStr">
        <is>
          <t>All</t>
        </is>
      </c>
      <c r="G244" s="68" t="n">
        <v>30</v>
      </c>
      <c r="H244" s="68" t="n">
        <v>210</v>
      </c>
      <c r="I244" s="68" t="n">
        <v>8</v>
      </c>
      <c r="J244" s="69">
        <f>100-I244</f>
        <v/>
      </c>
      <c r="K244" s="69" t="n">
        <v>40</v>
      </c>
      <c r="L244" s="70">
        <f>ROUND((G244/MAX($G$5:$G$271)*100*0.4)+(J244*0.35)+(K244*0.25),1)</f>
        <v/>
      </c>
      <c r="M244" s="67">
        <f>IF(L244&gt;=62,"1 - Do now",IF(L244&gt;=52,"2 - Next",IF(L244&gt;=44,"3 - Later","4 - Backlog")))</f>
        <v/>
      </c>
      <c r="N244" s="67" t="inlineStr">
        <is>
          <t>/blog/baler-troubleshooting</t>
        </is>
      </c>
    </row>
    <row r="245" ht="15" customHeight="1" s="54">
      <c r="A245" s="63" t="n">
        <v>241</v>
      </c>
      <c r="B245" s="63" t="inlineStr">
        <is>
          <t>how to calculate baler roi</t>
        </is>
      </c>
      <c r="C245" s="63" t="inlineStr">
        <is>
          <t>Long-tail Questions</t>
        </is>
      </c>
      <c r="D245" s="63" t="inlineStr">
        <is>
          <t>Question</t>
        </is>
      </c>
      <c r="E245" s="63" t="inlineStr">
        <is>
          <t>Informational</t>
        </is>
      </c>
      <c r="F245" s="63" t="inlineStr">
        <is>
          <t>All</t>
        </is>
      </c>
      <c r="G245" s="64" t="n">
        <v>40</v>
      </c>
      <c r="H245" s="64" t="n">
        <v>390</v>
      </c>
      <c r="I245" s="64" t="n">
        <v>11</v>
      </c>
      <c r="J245" s="65">
        <f>100-I245</f>
        <v/>
      </c>
      <c r="K245" s="65" t="n">
        <v>40</v>
      </c>
      <c r="L245" s="66">
        <f>ROUND((G245/MAX($G$5:$G$271)*100*0.4)+(J245*0.35)+(K245*0.25),1)</f>
        <v/>
      </c>
      <c r="M245" s="63">
        <f>IF(L245&gt;=62,"1 - Do now",IF(L245&gt;=52,"2 - Next",IF(L245&gt;=44,"3 - Later","4 - Backlog")))</f>
        <v/>
      </c>
      <c r="N245" s="63" t="inlineStr">
        <is>
          <t>/blog/baler-roi</t>
        </is>
      </c>
    </row>
    <row r="246" ht="15" customHeight="1" s="54">
      <c r="A246" s="67" t="n">
        <v>242</v>
      </c>
      <c r="B246" s="67" t="inlineStr">
        <is>
          <t>what licence do i need for a scrap yard in india</t>
        </is>
      </c>
      <c r="C246" s="67" t="inlineStr">
        <is>
          <t>Long-tail Questions</t>
        </is>
      </c>
      <c r="D246" s="67" t="inlineStr">
        <is>
          <t>Question</t>
        </is>
      </c>
      <c r="E246" s="67" t="inlineStr">
        <is>
          <t>Informational</t>
        </is>
      </c>
      <c r="F246" s="67" t="inlineStr">
        <is>
          <t>India</t>
        </is>
      </c>
      <c r="G246" s="68" t="n">
        <v>320</v>
      </c>
      <c r="H246" s="68" t="n">
        <v>390</v>
      </c>
      <c r="I246" s="68" t="n">
        <v>22</v>
      </c>
      <c r="J246" s="69">
        <f>100-I246</f>
        <v/>
      </c>
      <c r="K246" s="69" t="n">
        <v>40</v>
      </c>
      <c r="L246" s="70">
        <f>ROUND((G246/MAX($G$5:$G$271)*100*0.4)+(J246*0.35)+(K246*0.25),1)</f>
        <v/>
      </c>
      <c r="M246" s="67">
        <f>IF(L246&gt;=62,"1 - Do now",IF(L246&gt;=52,"2 - Next",IF(L246&gt;=44,"3 - Later","4 - Backlog")))</f>
        <v/>
      </c>
      <c r="N246" s="67" t="inlineStr">
        <is>
          <t>/blog/setup-scrap-yard</t>
        </is>
      </c>
    </row>
    <row r="247" ht="15" customHeight="1" s="54">
      <c r="A247" s="63" t="n">
        <v>243</v>
      </c>
      <c r="B247" s="63" t="inlineStr">
        <is>
          <t>how much land is required for rvsf</t>
        </is>
      </c>
      <c r="C247" s="63" t="inlineStr">
        <is>
          <t>Long-tail Questions</t>
        </is>
      </c>
      <c r="D247" s="63" t="inlineStr">
        <is>
          <t>Question</t>
        </is>
      </c>
      <c r="E247" s="63" t="inlineStr">
        <is>
          <t>Informational</t>
        </is>
      </c>
      <c r="F247" s="63" t="inlineStr">
        <is>
          <t>India</t>
        </is>
      </c>
      <c r="G247" s="64" t="n">
        <v>260</v>
      </c>
      <c r="H247" s="64" t="n">
        <v>320</v>
      </c>
      <c r="I247" s="64" t="n">
        <v>18</v>
      </c>
      <c r="J247" s="65">
        <f>100-I247</f>
        <v/>
      </c>
      <c r="K247" s="65" t="n">
        <v>40</v>
      </c>
      <c r="L247" s="66">
        <f>ROUND((G247/MAX($G$5:$G$271)*100*0.4)+(J247*0.35)+(K247*0.25),1)</f>
        <v/>
      </c>
      <c r="M247" s="63">
        <f>IF(L247&gt;=62,"1 - Do now",IF(L247&gt;=52,"2 - Next",IF(L247&gt;=44,"3 - Later","4 - Backlog")))</f>
        <v/>
      </c>
      <c r="N247" s="63" t="inlineStr">
        <is>
          <t>/blog/rvsf-licence-guide</t>
        </is>
      </c>
    </row>
    <row r="248" ht="15" customHeight="1" s="54">
      <c r="A248" s="67" t="n">
        <v>244</v>
      </c>
      <c r="B248" s="67" t="inlineStr">
        <is>
          <t>is scrap baling business profitable</t>
        </is>
      </c>
      <c r="C248" s="67" t="inlineStr">
        <is>
          <t>Long-tail Questions</t>
        </is>
      </c>
      <c r="D248" s="67" t="inlineStr">
        <is>
          <t>Question</t>
        </is>
      </c>
      <c r="E248" s="67" t="inlineStr">
        <is>
          <t>Informational</t>
        </is>
      </c>
      <c r="F248" s="67" t="inlineStr">
        <is>
          <t>India</t>
        </is>
      </c>
      <c r="G248" s="68" t="n">
        <v>390</v>
      </c>
      <c r="H248" s="68" t="n">
        <v>590</v>
      </c>
      <c r="I248" s="68" t="n">
        <v>24</v>
      </c>
      <c r="J248" s="69">
        <f>100-I248</f>
        <v/>
      </c>
      <c r="K248" s="69" t="n">
        <v>40</v>
      </c>
      <c r="L248" s="70">
        <f>ROUND((G248/MAX($G$5:$G$271)*100*0.4)+(J248*0.35)+(K248*0.25),1)</f>
        <v/>
      </c>
      <c r="M248" s="67">
        <f>IF(L248&gt;=62,"1 - Do now",IF(L248&gt;=52,"2 - Next",IF(L248&gt;=44,"3 - Later","4 - Backlog")))</f>
        <v/>
      </c>
      <c r="N248" s="67" t="inlineStr">
        <is>
          <t>/blog/scrap-business-profit</t>
        </is>
      </c>
    </row>
    <row r="249" ht="15" customHeight="1" s="54">
      <c r="A249" s="63" t="n">
        <v>245</v>
      </c>
      <c r="B249" s="63" t="inlineStr">
        <is>
          <t>how to reduce scrap transport cost</t>
        </is>
      </c>
      <c r="C249" s="63" t="inlineStr">
        <is>
          <t>Long-tail Questions</t>
        </is>
      </c>
      <c r="D249" s="63" t="inlineStr">
        <is>
          <t>Question</t>
        </is>
      </c>
      <c r="E249" s="63" t="inlineStr">
        <is>
          <t>Informational</t>
        </is>
      </c>
      <c r="F249" s="63" t="inlineStr">
        <is>
          <t>All</t>
        </is>
      </c>
      <c r="G249" s="64" t="n">
        <v>70</v>
      </c>
      <c r="H249" s="64" t="n">
        <v>590</v>
      </c>
      <c r="I249" s="64" t="n">
        <v>13</v>
      </c>
      <c r="J249" s="65">
        <f>100-I249</f>
        <v/>
      </c>
      <c r="K249" s="65" t="n">
        <v>40</v>
      </c>
      <c r="L249" s="66">
        <f>ROUND((G249/MAX($G$5:$G$271)*100*0.4)+(J249*0.35)+(K249*0.25),1)</f>
        <v/>
      </c>
      <c r="M249" s="63">
        <f>IF(L249&gt;=62,"1 - Do now",IF(L249&gt;=52,"2 - Next",IF(L249&gt;=44,"3 - Later","4 - Backlog")))</f>
        <v/>
      </c>
      <c r="N249" s="63" t="inlineStr">
        <is>
          <t>/blog/increase-scrap-value</t>
        </is>
      </c>
    </row>
    <row r="250" ht="15" customHeight="1" s="54">
      <c r="A250" s="67" t="n">
        <v>246</v>
      </c>
      <c r="B250" s="67" t="inlineStr">
        <is>
          <t>what causes hydraulic oil overheating in a baler</t>
        </is>
      </c>
      <c r="C250" s="67" t="inlineStr">
        <is>
          <t>Long-tail Questions</t>
        </is>
      </c>
      <c r="D250" s="67" t="inlineStr">
        <is>
          <t>Question</t>
        </is>
      </c>
      <c r="E250" s="67" t="inlineStr">
        <is>
          <t>Informational</t>
        </is>
      </c>
      <c r="F250" s="67" t="inlineStr">
        <is>
          <t>All</t>
        </is>
      </c>
      <c r="G250" s="68" t="n">
        <v>50</v>
      </c>
      <c r="H250" s="68" t="n">
        <v>480</v>
      </c>
      <c r="I250" s="68" t="n">
        <v>10</v>
      </c>
      <c r="J250" s="69">
        <f>100-I250</f>
        <v/>
      </c>
      <c r="K250" s="69" t="n">
        <v>40</v>
      </c>
      <c r="L250" s="70">
        <f>ROUND((G250/MAX($G$5:$G$271)*100*0.4)+(J250*0.35)+(K250*0.25),1)</f>
        <v/>
      </c>
      <c r="M250" s="67">
        <f>IF(L250&gt;=62,"1 - Do now",IF(L250&gt;=52,"2 - Next",IF(L250&gt;=44,"3 - Later","4 - Backlog")))</f>
        <v/>
      </c>
      <c r="N250" s="67" t="inlineStr">
        <is>
          <t>/blog/baler-troubleshooting</t>
        </is>
      </c>
    </row>
    <row r="251" ht="15" customHeight="1" s="54">
      <c r="A251" s="63" t="n">
        <v>247</v>
      </c>
      <c r="B251" s="63" t="inlineStr">
        <is>
          <t>how often should baler hydraulic oil be changed</t>
        </is>
      </c>
      <c r="C251" s="63" t="inlineStr">
        <is>
          <t>Long-tail Questions</t>
        </is>
      </c>
      <c r="D251" s="63" t="inlineStr">
        <is>
          <t>Question</t>
        </is>
      </c>
      <c r="E251" s="63" t="inlineStr">
        <is>
          <t>Informational</t>
        </is>
      </c>
      <c r="F251" s="63" t="inlineStr">
        <is>
          <t>All</t>
        </is>
      </c>
      <c r="G251" s="64" t="n">
        <v>40</v>
      </c>
      <c r="H251" s="64" t="n">
        <v>390</v>
      </c>
      <c r="I251" s="64" t="n">
        <v>9</v>
      </c>
      <c r="J251" s="65">
        <f>100-I251</f>
        <v/>
      </c>
      <c r="K251" s="65" t="n">
        <v>40</v>
      </c>
      <c r="L251" s="66">
        <f>ROUND((G251/MAX($G$5:$G$271)*100*0.4)+(J251*0.35)+(K251*0.25),1)</f>
        <v/>
      </c>
      <c r="M251" s="63">
        <f>IF(L251&gt;=62,"1 - Do now",IF(L251&gt;=52,"2 - Next",IF(L251&gt;=44,"3 - Later","4 - Backlog")))</f>
        <v/>
      </c>
      <c r="N251" s="63" t="inlineStr">
        <is>
          <t>/blog/baler-maintenance</t>
        </is>
      </c>
    </row>
    <row r="252" ht="15" customHeight="1" s="54">
      <c r="A252" s="67" t="n">
        <v>248</v>
      </c>
      <c r="B252" s="67" t="inlineStr">
        <is>
          <t>which baler is best for aluminium cans</t>
        </is>
      </c>
      <c r="C252" s="67" t="inlineStr">
        <is>
          <t>Long-tail Questions</t>
        </is>
      </c>
      <c r="D252" s="67" t="inlineStr">
        <is>
          <t>Question</t>
        </is>
      </c>
      <c r="E252" s="67" t="inlineStr">
        <is>
          <t>Informational</t>
        </is>
      </c>
      <c r="F252" s="67" t="inlineStr">
        <is>
          <t>All</t>
        </is>
      </c>
      <c r="G252" s="68" t="n">
        <v>60</v>
      </c>
      <c r="H252" s="68" t="n">
        <v>480</v>
      </c>
      <c r="I252" s="68" t="n">
        <v>12</v>
      </c>
      <c r="J252" s="69">
        <f>100-I252</f>
        <v/>
      </c>
      <c r="K252" s="69" t="n">
        <v>40</v>
      </c>
      <c r="L252" s="70">
        <f>ROUND((G252/MAX($G$5:$G$271)*100*0.4)+(J252*0.35)+(K252*0.25),1)</f>
        <v/>
      </c>
      <c r="M252" s="67">
        <f>IF(L252&gt;=62,"1 - Do now",IF(L252&gt;=52,"2 - Next",IF(L252&gt;=44,"3 - Later","4 - Backlog")))</f>
        <v/>
      </c>
      <c r="N252" s="67" t="inlineStr">
        <is>
          <t>/blog/types-of-balers</t>
        </is>
      </c>
    </row>
    <row r="253" ht="15" customHeight="1" s="54">
      <c r="A253" s="63" t="n">
        <v>249</v>
      </c>
      <c r="B253" s="63" t="inlineStr">
        <is>
          <t>do balers need a foundation</t>
        </is>
      </c>
      <c r="C253" s="63" t="inlineStr">
        <is>
          <t>Long-tail Questions</t>
        </is>
      </c>
      <c r="D253" s="63" t="inlineStr">
        <is>
          <t>Question</t>
        </is>
      </c>
      <c r="E253" s="63" t="inlineStr">
        <is>
          <t>Informational</t>
        </is>
      </c>
      <c r="F253" s="63" t="inlineStr">
        <is>
          <t>All</t>
        </is>
      </c>
      <c r="G253" s="64" t="n">
        <v>40</v>
      </c>
      <c r="H253" s="64" t="n">
        <v>260</v>
      </c>
      <c r="I253" s="64" t="n">
        <v>9</v>
      </c>
      <c r="J253" s="65">
        <f>100-I253</f>
        <v/>
      </c>
      <c r="K253" s="65" t="n">
        <v>40</v>
      </c>
      <c r="L253" s="66">
        <f>ROUND((G253/MAX($G$5:$G$271)*100*0.4)+(J253*0.35)+(K253*0.25),1)</f>
        <v/>
      </c>
      <c r="M253" s="63">
        <f>IF(L253&gt;=62,"1 - Do now",IF(L253&gt;=52,"2 - Next",IF(L253&gt;=44,"3 - Later","4 - Backlog")))</f>
        <v/>
      </c>
      <c r="N253" s="63" t="inlineStr">
        <is>
          <t>/blog/baler-foundation</t>
        </is>
      </c>
    </row>
    <row r="254" ht="15" customHeight="1" s="54">
      <c r="A254" s="67" t="n">
        <v>250</v>
      </c>
      <c r="B254" s="67" t="inlineStr">
        <is>
          <t>what is turnout ejection in a baler</t>
        </is>
      </c>
      <c r="C254" s="67" t="inlineStr">
        <is>
          <t>Long-tail Questions</t>
        </is>
      </c>
      <c r="D254" s="67" t="inlineStr">
        <is>
          <t>Question</t>
        </is>
      </c>
      <c r="E254" s="67" t="inlineStr">
        <is>
          <t>Informational</t>
        </is>
      </c>
      <c r="F254" s="67" t="inlineStr">
        <is>
          <t>All</t>
        </is>
      </c>
      <c r="G254" s="68" t="n">
        <v>20</v>
      </c>
      <c r="H254" s="68" t="n">
        <v>90</v>
      </c>
      <c r="I254" s="68" t="n">
        <v>6</v>
      </c>
      <c r="J254" s="69">
        <f>100-I254</f>
        <v/>
      </c>
      <c r="K254" s="69" t="n">
        <v>40</v>
      </c>
      <c r="L254" s="70">
        <f>ROUND((G254/MAX($G$5:$G$271)*100*0.4)+(J254*0.35)+(K254*0.25),1)</f>
        <v/>
      </c>
      <c r="M254" s="67">
        <f>IF(L254&gt;=62,"1 - Do now",IF(L254&gt;=52,"2 - Next",IF(L254&gt;=44,"3 - Later","4 - Backlog")))</f>
        <v/>
      </c>
      <c r="N254" s="67" t="inlineStr">
        <is>
          <t>/blog/types-of-balers</t>
        </is>
      </c>
    </row>
    <row r="255" ht="15" customHeight="1" s="54">
      <c r="A255" s="63" t="n">
        <v>251</v>
      </c>
      <c r="B255" s="63" t="inlineStr">
        <is>
          <t>how to bale copper wire scrap</t>
        </is>
      </c>
      <c r="C255" s="63" t="inlineStr">
        <is>
          <t>Long-tail Questions</t>
        </is>
      </c>
      <c r="D255" s="63" t="inlineStr">
        <is>
          <t>Question</t>
        </is>
      </c>
      <c r="E255" s="63" t="inlineStr">
        <is>
          <t>Informational</t>
        </is>
      </c>
      <c r="F255" s="63" t="inlineStr">
        <is>
          <t>All</t>
        </is>
      </c>
      <c r="G255" s="64" t="n">
        <v>70</v>
      </c>
      <c r="H255" s="64" t="n">
        <v>590</v>
      </c>
      <c r="I255" s="64" t="n">
        <v>13</v>
      </c>
      <c r="J255" s="65">
        <f>100-I255</f>
        <v/>
      </c>
      <c r="K255" s="65" t="n">
        <v>40</v>
      </c>
      <c r="L255" s="66">
        <f>ROUND((G255/MAX($G$5:$G$271)*100*0.4)+(J255*0.35)+(K255*0.25),1)</f>
        <v/>
      </c>
      <c r="M255" s="63">
        <f>IF(L255&gt;=62,"1 - Do now",IF(L255&gt;=52,"2 - Next",IF(L255&gt;=44,"3 - Later","4 - Backlog")))</f>
        <v/>
      </c>
      <c r="N255" s="63" t="inlineStr">
        <is>
          <t>/blog/copper-baling</t>
        </is>
      </c>
    </row>
    <row r="256" ht="15" customHeight="1" s="54">
      <c r="A256" s="67" t="n">
        <v>252</v>
      </c>
      <c r="B256" s="67" t="inlineStr">
        <is>
          <t>best machine for baling machine turnings</t>
        </is>
      </c>
      <c r="C256" s="67" t="inlineStr">
        <is>
          <t>Long-tail Questions</t>
        </is>
      </c>
      <c r="D256" s="67" t="inlineStr">
        <is>
          <t>Question</t>
        </is>
      </c>
      <c r="E256" s="67" t="inlineStr">
        <is>
          <t>Commercial</t>
        </is>
      </c>
      <c r="F256" s="67" t="inlineStr">
        <is>
          <t>All</t>
        </is>
      </c>
      <c r="G256" s="68" t="n">
        <v>50</v>
      </c>
      <c r="H256" s="68" t="n">
        <v>260</v>
      </c>
      <c r="I256" s="68" t="n">
        <v>11</v>
      </c>
      <c r="J256" s="69">
        <f>100-I256</f>
        <v/>
      </c>
      <c r="K256" s="69" t="n">
        <v>75</v>
      </c>
      <c r="L256" s="70">
        <f>ROUND((G256/MAX($G$5:$G$271)*100*0.4)+(J256*0.35)+(K256*0.25),1)</f>
        <v/>
      </c>
      <c r="M256" s="67">
        <f>IF(L256&gt;=62,"1 - Do now",IF(L256&gt;=52,"2 - Next",IF(L256&gt;=44,"3 - Later","4 - Backlog")))</f>
        <v/>
      </c>
      <c r="N256" s="67" t="inlineStr">
        <is>
          <t>/products/triple-action-baler</t>
        </is>
      </c>
    </row>
    <row r="257" ht="15" customHeight="1" s="54">
      <c r="A257" s="63" t="n">
        <v>253</v>
      </c>
      <c r="B257" s="63" t="inlineStr">
        <is>
          <t>how to choose shredder knife material</t>
        </is>
      </c>
      <c r="C257" s="63" t="inlineStr">
        <is>
          <t>Long-tail Questions</t>
        </is>
      </c>
      <c r="D257" s="63" t="inlineStr">
        <is>
          <t>Question</t>
        </is>
      </c>
      <c r="E257" s="63" t="inlineStr">
        <is>
          <t>Informational</t>
        </is>
      </c>
      <c r="F257" s="63" t="inlineStr">
        <is>
          <t>All</t>
        </is>
      </c>
      <c r="G257" s="64" t="n">
        <v>40</v>
      </c>
      <c r="H257" s="64" t="n">
        <v>480</v>
      </c>
      <c r="I257" s="64" t="n">
        <v>12</v>
      </c>
      <c r="J257" s="65">
        <f>100-I257</f>
        <v/>
      </c>
      <c r="K257" s="65" t="n">
        <v>40</v>
      </c>
      <c r="L257" s="66">
        <f>ROUND((G257/MAX($G$5:$G$271)*100*0.4)+(J257*0.35)+(K257*0.25),1)</f>
        <v/>
      </c>
      <c r="M257" s="63">
        <f>IF(L257&gt;=62,"1 - Do now",IF(L257&gt;=52,"2 - Next",IF(L257&gt;=44,"3 - Later","4 - Backlog")))</f>
        <v/>
      </c>
      <c r="N257" s="63" t="inlineStr">
        <is>
          <t>/blog/shredder-knives</t>
        </is>
      </c>
    </row>
    <row r="258" ht="15" customHeight="1" s="54">
      <c r="A258" s="67" t="n">
        <v>254</v>
      </c>
      <c r="B258" s="67" t="inlineStr">
        <is>
          <t>what maintenance does an alligator shear need</t>
        </is>
      </c>
      <c r="C258" s="67" t="inlineStr">
        <is>
          <t>Long-tail Questions</t>
        </is>
      </c>
      <c r="D258" s="67" t="inlineStr">
        <is>
          <t>Question</t>
        </is>
      </c>
      <c r="E258" s="67" t="inlineStr">
        <is>
          <t>Informational</t>
        </is>
      </c>
      <c r="F258" s="67" t="inlineStr">
        <is>
          <t>All</t>
        </is>
      </c>
      <c r="G258" s="68" t="n">
        <v>30</v>
      </c>
      <c r="H258" s="68" t="n">
        <v>260</v>
      </c>
      <c r="I258" s="68" t="n">
        <v>8</v>
      </c>
      <c r="J258" s="69">
        <f>100-I258</f>
        <v/>
      </c>
      <c r="K258" s="69" t="n">
        <v>40</v>
      </c>
      <c r="L258" s="70">
        <f>ROUND((G258/MAX($G$5:$G$271)*100*0.4)+(J258*0.35)+(K258*0.25),1)</f>
        <v/>
      </c>
      <c r="M258" s="67">
        <f>IF(L258&gt;=62,"1 - Do now",IF(L258&gt;=52,"2 - Next",IF(L258&gt;=44,"3 - Later","4 - Backlog")))</f>
        <v/>
      </c>
      <c r="N258" s="67" t="inlineStr">
        <is>
          <t>/blog/shear-maintenance</t>
        </is>
      </c>
    </row>
    <row r="259" ht="15" customHeight="1" s="54">
      <c r="A259" s="63" t="n">
        <v>255</v>
      </c>
      <c r="B259" s="63" t="inlineStr">
        <is>
          <t>how to improve bale density on existing baler</t>
        </is>
      </c>
      <c r="C259" s="63" t="inlineStr">
        <is>
          <t>Long-tail Questions</t>
        </is>
      </c>
      <c r="D259" s="63" t="inlineStr">
        <is>
          <t>Question</t>
        </is>
      </c>
      <c r="E259" s="63" t="inlineStr">
        <is>
          <t>Informational</t>
        </is>
      </c>
      <c r="F259" s="63" t="inlineStr">
        <is>
          <t>All</t>
        </is>
      </c>
      <c r="G259" s="64" t="n">
        <v>40</v>
      </c>
      <c r="H259" s="64" t="n">
        <v>320</v>
      </c>
      <c r="I259" s="64" t="n">
        <v>10</v>
      </c>
      <c r="J259" s="65">
        <f>100-I259</f>
        <v/>
      </c>
      <c r="K259" s="65" t="n">
        <v>40</v>
      </c>
      <c r="L259" s="66">
        <f>ROUND((G259/MAX($G$5:$G$271)*100*0.4)+(J259*0.35)+(K259*0.25),1)</f>
        <v/>
      </c>
      <c r="M259" s="63">
        <f>IF(L259&gt;=62,"1 - Do now",IF(L259&gt;=52,"2 - Next",IF(L259&gt;=44,"3 - Later","4 - Backlog")))</f>
        <v/>
      </c>
      <c r="N259" s="63" t="inlineStr">
        <is>
          <t>/blog/bale-density</t>
        </is>
      </c>
    </row>
    <row r="260" ht="15" customHeight="1" s="54">
      <c r="A260" s="67" t="n">
        <v>256</v>
      </c>
      <c r="B260" s="67" t="inlineStr">
        <is>
          <t>scrap baler machine buying checklist</t>
        </is>
      </c>
      <c r="C260" s="67" t="inlineStr">
        <is>
          <t>Long-tail Questions</t>
        </is>
      </c>
      <c r="D260" s="67" t="inlineStr">
        <is>
          <t>Question</t>
        </is>
      </c>
      <c r="E260" s="67" t="inlineStr">
        <is>
          <t>Commercial</t>
        </is>
      </c>
      <c r="F260" s="67" t="inlineStr">
        <is>
          <t>All</t>
        </is>
      </c>
      <c r="G260" s="68" t="n">
        <v>60</v>
      </c>
      <c r="H260" s="68" t="n">
        <v>320</v>
      </c>
      <c r="I260" s="68" t="n">
        <v>12</v>
      </c>
      <c r="J260" s="69">
        <f>100-I260</f>
        <v/>
      </c>
      <c r="K260" s="69" t="n">
        <v>75</v>
      </c>
      <c r="L260" s="70">
        <f>ROUND((G260/MAX($G$5:$G$271)*100*0.4)+(J260*0.35)+(K260*0.25),1)</f>
        <v/>
      </c>
      <c r="M260" s="67">
        <f>IF(L260&gt;=62,"1 - Do now",IF(L260&gt;=52,"2 - Next",IF(L260&gt;=44,"3 - Later","4 - Backlog")))</f>
        <v/>
      </c>
      <c r="N260" s="67" t="inlineStr">
        <is>
          <t>/blog/how-to-choose-baler</t>
        </is>
      </c>
    </row>
    <row r="261" ht="15" customHeight="1" s="54">
      <c r="A261" s="63" t="n">
        <v>257</v>
      </c>
      <c r="B261" s="63" t="inlineStr">
        <is>
          <t>questions to ask a baling press manufacturer</t>
        </is>
      </c>
      <c r="C261" s="63" t="inlineStr">
        <is>
          <t>Long-tail Questions</t>
        </is>
      </c>
      <c r="D261" s="63" t="inlineStr">
        <is>
          <t>Question</t>
        </is>
      </c>
      <c r="E261" s="63" t="inlineStr">
        <is>
          <t>Commercial</t>
        </is>
      </c>
      <c r="F261" s="63" t="inlineStr">
        <is>
          <t>All</t>
        </is>
      </c>
      <c r="G261" s="64" t="n">
        <v>40</v>
      </c>
      <c r="H261" s="64" t="n">
        <v>260</v>
      </c>
      <c r="I261" s="64" t="n">
        <v>10</v>
      </c>
      <c r="J261" s="65">
        <f>100-I261</f>
        <v/>
      </c>
      <c r="K261" s="65" t="n">
        <v>75</v>
      </c>
      <c r="L261" s="66">
        <f>ROUND((G261/MAX($G$5:$G$271)*100*0.4)+(J261*0.35)+(K261*0.25),1)</f>
        <v/>
      </c>
      <c r="M261" s="63">
        <f>IF(L261&gt;=62,"1 - Do now",IF(L261&gt;=52,"2 - Next",IF(L261&gt;=44,"3 - Later","4 - Backlog")))</f>
        <v/>
      </c>
      <c r="N261" s="63" t="inlineStr">
        <is>
          <t>/blog/how-to-choose-baler</t>
        </is>
      </c>
    </row>
    <row r="262" ht="15" customHeight="1" s="54">
      <c r="A262" s="67" t="n">
        <v>258</v>
      </c>
      <c r="B262" s="67" t="inlineStr">
        <is>
          <t>how to verify a machinery manufacturer in india</t>
        </is>
      </c>
      <c r="C262" s="67" t="inlineStr">
        <is>
          <t>Long-tail Questions</t>
        </is>
      </c>
      <c r="D262" s="67" t="inlineStr">
        <is>
          <t>Question</t>
        </is>
      </c>
      <c r="E262" s="67" t="inlineStr">
        <is>
          <t>Commercial</t>
        </is>
      </c>
      <c r="F262" s="67" t="inlineStr">
        <is>
          <t>Export</t>
        </is>
      </c>
      <c r="G262" s="68" t="n">
        <v>90</v>
      </c>
      <c r="H262" s="68" t="n">
        <v>320</v>
      </c>
      <c r="I262" s="68" t="n">
        <v>17</v>
      </c>
      <c r="J262" s="69">
        <f>100-I262</f>
        <v/>
      </c>
      <c r="K262" s="69" t="n">
        <v>75</v>
      </c>
      <c r="L262" s="70">
        <f>ROUND((G262/MAX($G$5:$G$271)*100*0.4)+(J262*0.35)+(K262*0.25),1)</f>
        <v/>
      </c>
      <c r="M262" s="67">
        <f>IF(L262&gt;=62,"1 - Do now",IF(L262&gt;=52,"2 - Next",IF(L262&gt;=44,"3 - Later","4 - Backlog")))</f>
        <v/>
      </c>
      <c r="N262" s="67" t="inlineStr">
        <is>
          <t>/blog/india-vs-china-balers</t>
        </is>
      </c>
    </row>
    <row r="263" ht="15" customHeight="1" s="54">
      <c r="A263" s="63" t="n">
        <v>259</v>
      </c>
      <c r="B263" s="63" t="inlineStr">
        <is>
          <t>what warranty is standard on baling presses</t>
        </is>
      </c>
      <c r="C263" s="63" t="inlineStr">
        <is>
          <t>Long-tail Questions</t>
        </is>
      </c>
      <c r="D263" s="63" t="inlineStr">
        <is>
          <t>Question</t>
        </is>
      </c>
      <c r="E263" s="63" t="inlineStr">
        <is>
          <t>Commercial</t>
        </is>
      </c>
      <c r="F263" s="63" t="inlineStr">
        <is>
          <t>All</t>
        </is>
      </c>
      <c r="G263" s="64" t="n">
        <v>30</v>
      </c>
      <c r="H263" s="64" t="n">
        <v>170</v>
      </c>
      <c r="I263" s="64" t="n">
        <v>8</v>
      </c>
      <c r="J263" s="65">
        <f>100-I263</f>
        <v/>
      </c>
      <c r="K263" s="65" t="n">
        <v>75</v>
      </c>
      <c r="L263" s="66">
        <f>ROUND((G263/MAX($G$5:$G$271)*100*0.4)+(J263*0.35)+(K263*0.25),1)</f>
        <v/>
      </c>
      <c r="M263" s="63">
        <f>IF(L263&gt;=62,"1 - Do now",IF(L263&gt;=52,"2 - Next",IF(L263&gt;=44,"3 - Later","4 - Backlog")))</f>
        <v/>
      </c>
      <c r="N263" s="63" t="inlineStr">
        <is>
          <t>/blog/how-to-choose-baler</t>
        </is>
      </c>
    </row>
    <row r="264" ht="15" customHeight="1" s="54">
      <c r="A264" s="67" t="n">
        <v>260</v>
      </c>
      <c r="B264" s="67" t="inlineStr">
        <is>
          <t>lead time for baling press delivery india</t>
        </is>
      </c>
      <c r="C264" s="67" t="inlineStr">
        <is>
          <t>Long-tail Questions</t>
        </is>
      </c>
      <c r="D264" s="67" t="inlineStr">
        <is>
          <t>Question</t>
        </is>
      </c>
      <c r="E264" s="67" t="inlineStr">
        <is>
          <t>Commercial</t>
        </is>
      </c>
      <c r="F264" s="67" t="inlineStr">
        <is>
          <t>India</t>
        </is>
      </c>
      <c r="G264" s="68" t="n">
        <v>40</v>
      </c>
      <c r="H264" s="68" t="n">
        <v>90</v>
      </c>
      <c r="I264" s="68" t="n">
        <v>9</v>
      </c>
      <c r="J264" s="69">
        <f>100-I264</f>
        <v/>
      </c>
      <c r="K264" s="69" t="n">
        <v>75</v>
      </c>
      <c r="L264" s="70">
        <f>ROUND((G264/MAX($G$5:$G$271)*100*0.4)+(J264*0.35)+(K264*0.25),1)</f>
        <v/>
      </c>
      <c r="M264" s="67">
        <f>IF(L264&gt;=62,"1 - Do now",IF(L264&gt;=52,"2 - Next",IF(L264&gt;=44,"3 - Later","4 - Backlog")))</f>
        <v/>
      </c>
      <c r="N264" s="67" t="inlineStr">
        <is>
          <t>/contact</t>
        </is>
      </c>
    </row>
    <row r="265" ht="15" customHeight="1" s="54">
      <c r="A265" s="63" t="n">
        <v>261</v>
      </c>
      <c r="B265" s="63" t="inlineStr">
        <is>
          <t>how to commission a new baling press</t>
        </is>
      </c>
      <c r="C265" s="63" t="inlineStr">
        <is>
          <t>Long-tail Questions</t>
        </is>
      </c>
      <c r="D265" s="63" t="inlineStr">
        <is>
          <t>Question</t>
        </is>
      </c>
      <c r="E265" s="63" t="inlineStr">
        <is>
          <t>Informational</t>
        </is>
      </c>
      <c r="F265" s="63" t="inlineStr">
        <is>
          <t>All</t>
        </is>
      </c>
      <c r="G265" s="64" t="n">
        <v>30</v>
      </c>
      <c r="H265" s="64" t="n">
        <v>210</v>
      </c>
      <c r="I265" s="64" t="n">
        <v>8</v>
      </c>
      <c r="J265" s="65">
        <f>100-I265</f>
        <v/>
      </c>
      <c r="K265" s="65" t="n">
        <v>40</v>
      </c>
      <c r="L265" s="66">
        <f>ROUND((G265/MAX($G$5:$G$271)*100*0.4)+(J265*0.35)+(K265*0.25),1)</f>
        <v/>
      </c>
      <c r="M265" s="63">
        <f>IF(L265&gt;=62,"1 - Do now",IF(L265&gt;=52,"2 - Next",IF(L265&gt;=44,"3 - Later","4 - Backlog")))</f>
        <v/>
      </c>
      <c r="N265" s="63" t="inlineStr">
        <is>
          <t>/service</t>
        </is>
      </c>
    </row>
    <row r="266" ht="15" customHeight="1" s="54">
      <c r="A266" s="63" t="n">
        <v>262</v>
      </c>
      <c r="B266" s="63" t="inlineStr">
        <is>
          <t>plastic waste management amendment rules 2026</t>
        </is>
      </c>
      <c r="C266" s="63" t="inlineStr">
        <is>
          <t>Thought Leadership</t>
        </is>
      </c>
      <c r="D266" s="63" t="inlineStr">
        <is>
          <t>Policy &amp; regulation</t>
        </is>
      </c>
      <c r="E266" s="63" t="inlineStr">
        <is>
          <t>Informational</t>
        </is>
      </c>
      <c r="F266" s="63" t="inlineStr">
        <is>
          <t>India</t>
        </is>
      </c>
      <c r="G266" s="64" t="n">
        <v>320</v>
      </c>
      <c r="H266" s="64" t="n">
        <v>480</v>
      </c>
      <c r="I266" s="64" t="n">
        <v>28</v>
      </c>
      <c r="J266" s="65">
        <f>100-I266</f>
        <v/>
      </c>
      <c r="K266" s="65" t="n">
        <v>60</v>
      </c>
      <c r="L266" s="66">
        <f>ROUND((G266/MAX($G$5:$G$271)*100*0.4)+(J266*0.35)+(K266*0.25),1)</f>
        <v/>
      </c>
      <c r="M266" s="63">
        <f>IF(L266&gt;=62,"1 - Do now",IF(L266&gt;=52,"2 - Next",IF(L266&gt;=44,"3 - Later","4 - Backlog")))</f>
        <v/>
      </c>
      <c r="N266" s="63" t="inlineStr">
        <is>
          <t>/blog/plastic-waste-management-rules-india</t>
        </is>
      </c>
    </row>
    <row r="267" ht="15" customHeight="1" s="54">
      <c r="A267" s="63" t="n">
        <v>263</v>
      </c>
      <c r="B267" s="63" t="inlineStr">
        <is>
          <t>plastic waste processor registration</t>
        </is>
      </c>
      <c r="C267" s="63" t="inlineStr">
        <is>
          <t>Thought Leadership</t>
        </is>
      </c>
      <c r="D267" s="63" t="inlineStr">
        <is>
          <t>Policy &amp; regulation</t>
        </is>
      </c>
      <c r="E267" s="63" t="inlineStr">
        <is>
          <t>Informational</t>
        </is>
      </c>
      <c r="F267" s="63" t="inlineStr">
        <is>
          <t>India</t>
        </is>
      </c>
      <c r="G267" s="64" t="n">
        <v>210</v>
      </c>
      <c r="H267" s="64" t="n">
        <v>260</v>
      </c>
      <c r="I267" s="64" t="n">
        <v>25</v>
      </c>
      <c r="J267" s="65">
        <f>100-I267</f>
        <v/>
      </c>
      <c r="K267" s="65" t="n">
        <v>60</v>
      </c>
      <c r="L267" s="66">
        <f>ROUND((G267/MAX($G$5:$G$271)*100*0.4)+(J267*0.35)+(K267*0.25),1)</f>
        <v/>
      </c>
      <c r="M267" s="63">
        <f>IF(L267&gt;=62,"1 - Do now",IF(L267&gt;=52,"2 - Next",IF(L267&gt;=44,"3 - Later","4 - Backlog")))</f>
        <v/>
      </c>
      <c r="N267" s="63" t="inlineStr">
        <is>
          <t>/blog/plastic-waste-management-rules-india</t>
        </is>
      </c>
    </row>
    <row r="268" ht="15" customHeight="1" s="54">
      <c r="A268" s="63" t="n">
        <v>264</v>
      </c>
      <c r="B268" s="63" t="inlineStr">
        <is>
          <t>nlm subsidy fodder block making machine</t>
        </is>
      </c>
      <c r="C268" s="63" t="inlineStr">
        <is>
          <t>Agriculture</t>
        </is>
      </c>
      <c r="D268" s="63" t="inlineStr">
        <is>
          <t>Fodder &amp; agri waste</t>
        </is>
      </c>
      <c r="E268" s="63" t="inlineStr">
        <is>
          <t>Transactional</t>
        </is>
      </c>
      <c r="F268" s="63" t="inlineStr">
        <is>
          <t>India</t>
        </is>
      </c>
      <c r="G268" s="64" t="n">
        <v>260</v>
      </c>
      <c r="H268" s="64" t="n">
        <v>320</v>
      </c>
      <c r="I268" s="64" t="n">
        <v>22</v>
      </c>
      <c r="J268" s="65">
        <f>100-I268</f>
        <v/>
      </c>
      <c r="K268" s="65" t="n">
        <v>90</v>
      </c>
      <c r="L268" s="66">
        <f>ROUND((G268/MAX($G$5:$G$271)*100*0.4)+(J268*0.35)+(K268*0.25),1)</f>
        <v/>
      </c>
      <c r="M268" s="63">
        <f>IF(L268&gt;=62,"1 - Do now",IF(L268&gt;=52,"2 - Next",IF(L268&gt;=44,"3 - Later","4 - Backlog")))</f>
        <v/>
      </c>
      <c r="N268" s="63" t="inlineStr">
        <is>
          <t>/blog/fodder-block-making-machine</t>
        </is>
      </c>
    </row>
    <row r="269" ht="15" customHeight="1" s="54">
      <c r="A269" s="63" t="n">
        <v>265</v>
      </c>
      <c r="B269" s="63" t="inlineStr">
        <is>
          <t>epr certificate for end of life vehicles</t>
        </is>
      </c>
      <c r="C269" s="63" t="inlineStr">
        <is>
          <t>ELV / RVSF</t>
        </is>
      </c>
      <c r="D269" s="63" t="inlineStr">
        <is>
          <t>Policy &amp; regulation</t>
        </is>
      </c>
      <c r="E269" s="63" t="inlineStr">
        <is>
          <t>Informational</t>
        </is>
      </c>
      <c r="F269" s="63" t="inlineStr">
        <is>
          <t>India</t>
        </is>
      </c>
      <c r="G269" s="64" t="n">
        <v>390</v>
      </c>
      <c r="H269" s="64" t="n">
        <v>590</v>
      </c>
      <c r="I269" s="64" t="n">
        <v>31</v>
      </c>
      <c r="J269" s="65">
        <f>100-I269</f>
        <v/>
      </c>
      <c r="K269" s="65" t="n">
        <v>60</v>
      </c>
      <c r="L269" s="66">
        <f>ROUND((G269/MAX($G$5:$G$271)*100*0.4)+(J269*0.35)+(K269*0.25),1)</f>
        <v/>
      </c>
      <c r="M269" s="63">
        <f>IF(L269&gt;=62,"1 - Do now",IF(L269&gt;=52,"2 - Next",IF(L269&gt;=44,"3 - Later","4 - Backlog")))</f>
        <v/>
      </c>
      <c r="N269" s="63" t="inlineStr">
        <is>
          <t>/blog/vehicle-scrapping-policy</t>
        </is>
      </c>
    </row>
    <row r="270">
      <c r="A270" s="63" t="n">
        <v>266</v>
      </c>
      <c r="B270" s="63" t="inlineStr">
        <is>
          <t>carbon credit trading scheme steel india</t>
        </is>
      </c>
      <c r="C270" s="63" t="inlineStr">
        <is>
          <t>Thought Leadership</t>
        </is>
      </c>
      <c r="D270" s="63" t="inlineStr">
        <is>
          <t>Policy &amp; regulation</t>
        </is>
      </c>
      <c r="E270" s="63" t="inlineStr">
        <is>
          <t>Informational</t>
        </is>
      </c>
      <c r="F270" s="63" t="inlineStr">
        <is>
          <t>India</t>
        </is>
      </c>
      <c r="G270" s="64" t="n">
        <v>320</v>
      </c>
      <c r="H270" s="64" t="n">
        <v>880</v>
      </c>
      <c r="I270" s="64" t="n">
        <v>34</v>
      </c>
      <c r="J270" s="65">
        <f>100-I270</f>
        <v/>
      </c>
      <c r="K270" s="65" t="n">
        <v>40</v>
      </c>
      <c r="L270" s="66">
        <f>ROUND((G270/MAX($G$5:$G$271)*100*0.4)+(J270*0.35)+(K270*0.25),1)</f>
        <v/>
      </c>
      <c r="M270" s="63">
        <f>IF(L270&gt;=62,"1 - Do now",IF(L270&gt;=52,"2 - Next",IF(L270&gt;=44,"3 - Later","4 - Backlog")))</f>
        <v/>
      </c>
      <c r="N270" s="63" t="inlineStr">
        <is>
          <t>/blog/ccts-steel-scrap</t>
        </is>
      </c>
    </row>
    <row r="271" ht="15" customHeight="1" s="54">
      <c r="A271" s="63" t="n">
        <v>267</v>
      </c>
      <c r="B271" s="63" t="inlineStr">
        <is>
          <t>emission intensity targets iron and steel india</t>
        </is>
      </c>
      <c r="C271" s="63" t="inlineStr">
        <is>
          <t>Thought Leadership</t>
        </is>
      </c>
      <c r="D271" s="63" t="inlineStr">
        <is>
          <t>Policy &amp; regulation</t>
        </is>
      </c>
      <c r="E271" s="63" t="inlineStr">
        <is>
          <t>Informational</t>
        </is>
      </c>
      <c r="F271" s="63" t="inlineStr">
        <is>
          <t>India</t>
        </is>
      </c>
      <c r="G271" s="64" t="n">
        <v>170</v>
      </c>
      <c r="H271" s="64" t="n">
        <v>390</v>
      </c>
      <c r="I271" s="64" t="n">
        <v>28</v>
      </c>
      <c r="J271" s="65">
        <f>100-I271</f>
        <v/>
      </c>
      <c r="K271" s="65" t="n">
        <v>40</v>
      </c>
      <c r="L271" s="66">
        <f>ROUND((G271/MAX($G$5:$G$271)*100*0.4)+(J271*0.35)+(K271*0.25),1)</f>
        <v/>
      </c>
      <c r="M271" s="63">
        <f>IF(L271&gt;=62,"1 - Do now",IF(L271&gt;=52,"2 - Next",IF(L271&gt;=44,"3 - Later","4 - Backlog")))</f>
        <v/>
      </c>
      <c r="N271" s="63" t="inlineStr">
        <is>
          <t>/blog/ccts-steel-scrap</t>
        </is>
      </c>
    </row>
    <row r="273">
      <c r="B273" s="71" t="inlineStr">
        <is>
          <t>Source: manual keyword research, Aug 2026 — competitor page-one analysis, IndiaMART/TradeIndia category demand, search-suggest patterns. Directional estimates, not measured data. Rows 262-263 added 7 Aug 2026 from Plastic Waste Management (Amendment) Rules, 2026 research. Rows 264-265 added 8 Aug 2026 from NLM feed-and-fodder subsidy guidelines and the March 2026 ELV EPR amendment (removal of "other steel scrap materials"). Rows 266-267 added 11 Aug 2026 from the Carbon Credit Trading Scheme notification bringing iron and steel under intensity-based emission targets for compliance years FY2025-26 and FY2026-27 (ICAP).</t>
        </is>
      </c>
    </row>
  </sheetData>
  <autoFilter ref="A4:N265"/>
  <conditionalFormatting sqref="L5:L2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:I26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I2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3" min="1" max="1"/>
    <col width="48" customWidth="1" style="53" min="2" max="2"/>
    <col width="20" customWidth="1" style="53" min="3" max="3"/>
    <col width="14" customWidth="1" style="53" min="4" max="4"/>
    <col width="12" customWidth="1" style="53" min="5" max="5"/>
    <col width="10" customWidth="1" style="53" min="6" max="6"/>
    <col width="13" customWidth="1" style="53" min="7" max="7"/>
    <col width="9" customWidth="1" style="53" min="8" max="8"/>
    <col width="17" customWidth="1" style="53" min="9" max="9"/>
    <col width="11" customWidth="1" style="53" min="10" max="35"/>
  </cols>
  <sheetData>
    <row r="1" ht="17.25" customHeight="1" s="54">
      <c r="A1" s="61" t="inlineStr">
        <is>
          <t>WEEKLY RANK TRACKER</t>
        </is>
      </c>
    </row>
    <row r="2" ht="15" customHeight="1" s="54">
      <c r="A2" s="56" t="inlineStr">
        <is>
          <t>Enter Google position each Monday in the yellow dated columns. Leave BLANK if not ranking (do not type 0). Baseline Pos is a one-time entry.</t>
        </is>
      </c>
    </row>
    <row r="4" ht="31.5" customHeight="1" s="54">
      <c r="A4" s="62" t="inlineStr">
        <is>
          <t>#</t>
        </is>
      </c>
      <c r="B4" s="62" t="inlineStr">
        <is>
          <t>Keyword</t>
        </is>
      </c>
      <c r="C4" s="62" t="inlineStr">
        <is>
          <t>Category</t>
        </is>
      </c>
      <c r="D4" s="62" t="inlineStr">
        <is>
          <t>Priority Band</t>
        </is>
      </c>
      <c r="E4" s="62" t="inlineStr">
        <is>
          <t>Current Pos</t>
        </is>
      </c>
      <c r="F4" s="62" t="inlineStr">
        <is>
          <t>Best Pos</t>
        </is>
      </c>
      <c r="G4" s="62" t="inlineStr">
        <is>
          <t>Baseline Pos</t>
        </is>
      </c>
      <c r="H4" s="62" t="inlineStr">
        <is>
          <t>Change</t>
        </is>
      </c>
      <c r="I4" s="62" t="inlineStr">
        <is>
          <t>Status</t>
        </is>
      </c>
      <c r="J4" s="62" t="inlineStr">
        <is>
          <t>03-Aug-26</t>
        </is>
      </c>
      <c r="K4" s="62" t="inlineStr">
        <is>
          <t>10-Aug-26</t>
        </is>
      </c>
      <c r="L4" s="62" t="inlineStr">
        <is>
          <t>17-Aug-26</t>
        </is>
      </c>
      <c r="M4" s="62" t="inlineStr">
        <is>
          <t>24-Aug-26</t>
        </is>
      </c>
      <c r="N4" s="62" t="inlineStr">
        <is>
          <t>31-Aug-26</t>
        </is>
      </c>
      <c r="O4" s="62" t="inlineStr">
        <is>
          <t>07-Sep-26</t>
        </is>
      </c>
      <c r="P4" s="62" t="inlineStr">
        <is>
          <t>14-Sep-26</t>
        </is>
      </c>
      <c r="Q4" s="62" t="inlineStr">
        <is>
          <t>21-Sep-26</t>
        </is>
      </c>
      <c r="R4" s="62" t="inlineStr">
        <is>
          <t>28-Sep-26</t>
        </is>
      </c>
      <c r="S4" s="62" t="inlineStr">
        <is>
          <t>05-Oct-26</t>
        </is>
      </c>
      <c r="T4" s="62" t="inlineStr">
        <is>
          <t>12-Oct-26</t>
        </is>
      </c>
      <c r="U4" s="62" t="inlineStr">
        <is>
          <t>19-Oct-26</t>
        </is>
      </c>
      <c r="V4" s="62" t="inlineStr">
        <is>
          <t>26-Oct-26</t>
        </is>
      </c>
      <c r="W4" s="62" t="inlineStr">
        <is>
          <t>02-Nov-26</t>
        </is>
      </c>
      <c r="X4" s="62" t="inlineStr">
        <is>
          <t>09-Nov-26</t>
        </is>
      </c>
      <c r="Y4" s="62" t="inlineStr">
        <is>
          <t>16-Nov-26</t>
        </is>
      </c>
      <c r="Z4" s="62" t="inlineStr">
        <is>
          <t>23-Nov-26</t>
        </is>
      </c>
      <c r="AA4" s="62" t="inlineStr">
        <is>
          <t>30-Nov-26</t>
        </is>
      </c>
      <c r="AB4" s="62" t="inlineStr">
        <is>
          <t>07-Dec-26</t>
        </is>
      </c>
      <c r="AC4" s="62" t="inlineStr">
        <is>
          <t>14-Dec-26</t>
        </is>
      </c>
      <c r="AD4" s="62" t="inlineStr">
        <is>
          <t>21-Dec-26</t>
        </is>
      </c>
      <c r="AE4" s="62" t="inlineStr">
        <is>
          <t>28-Dec-26</t>
        </is>
      </c>
      <c r="AF4" s="62" t="inlineStr">
        <is>
          <t>04-Jan-27</t>
        </is>
      </c>
      <c r="AG4" s="62" t="inlineStr">
        <is>
          <t>11-Jan-27</t>
        </is>
      </c>
      <c r="AH4" s="62" t="inlineStr">
        <is>
          <t>18-Jan-27</t>
        </is>
      </c>
      <c r="AI4" s="62" t="inlineStr">
        <is>
          <t>25-Jan-27</t>
        </is>
      </c>
    </row>
    <row r="5" ht="15" customHeight="1" s="54">
      <c r="A5" s="63" t="n">
        <v>1</v>
      </c>
      <c r="B5" s="72">
        <f>'Keyword Master'!B5</f>
        <v/>
      </c>
      <c r="C5" s="72">
        <f>'Keyword Master'!C5</f>
        <v/>
      </c>
      <c r="D5" s="72">
        <f>'Keyword Master'!M5</f>
        <v/>
      </c>
      <c r="E5" s="73">
        <f>IFERROR(LOOKUP(9.99E+307,J5:AI5),"")</f>
        <v/>
      </c>
      <c r="F5" s="63">
        <f>IFERROR(SMALL(J5:AI5,1),"")</f>
        <v/>
      </c>
      <c r="G5" s="74" t="n"/>
      <c r="H5" s="73">
        <f>IF(OR(E5="",G5=""),"",G5-E5)</f>
        <v/>
      </c>
      <c r="I5" s="63">
        <f>IF(E5="","Not tracked",IF(E5&lt;=3,"Top 3",IF(E5&lt;=10,"Page 1",IF(E5&lt;=20,"Page 2 - near win","Page 3+"))))</f>
        <v/>
      </c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</row>
    <row r="6" ht="15" customHeight="1" s="54">
      <c r="A6" s="63" t="n">
        <v>2</v>
      </c>
      <c r="B6" s="72">
        <f>'Keyword Master'!B6</f>
        <v/>
      </c>
      <c r="C6" s="72">
        <f>'Keyword Master'!C6</f>
        <v/>
      </c>
      <c r="D6" s="72">
        <f>'Keyword Master'!M6</f>
        <v/>
      </c>
      <c r="E6" s="73">
        <f>IFERROR(LOOKUP(9.99E+307,J6:AI6),"")</f>
        <v/>
      </c>
      <c r="F6" s="63">
        <f>IFERROR(SMALL(J6:AI6,1),"")</f>
        <v/>
      </c>
      <c r="G6" s="74" t="n"/>
      <c r="H6" s="73">
        <f>IF(OR(E6="",G6=""),"",G6-E6)</f>
        <v/>
      </c>
      <c r="I6" s="63">
        <f>IF(E6="","Not tracked",IF(E6&lt;=3,"Top 3",IF(E6&lt;=10,"Page 1",IF(E6&lt;=20,"Page 2 - near win","Page 3+"))))</f>
        <v/>
      </c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</row>
    <row r="7" ht="15" customHeight="1" s="54">
      <c r="A7" s="63" t="n">
        <v>3</v>
      </c>
      <c r="B7" s="72">
        <f>'Keyword Master'!B7</f>
        <v/>
      </c>
      <c r="C7" s="72">
        <f>'Keyword Master'!C7</f>
        <v/>
      </c>
      <c r="D7" s="72">
        <f>'Keyword Master'!M7</f>
        <v/>
      </c>
      <c r="E7" s="73">
        <f>IFERROR(LOOKUP(9.99E+307,J7:AI7),"")</f>
        <v/>
      </c>
      <c r="F7" s="63">
        <f>IFERROR(SMALL(J7:AI7,1),"")</f>
        <v/>
      </c>
      <c r="G7" s="74" t="n"/>
      <c r="H7" s="73">
        <f>IF(OR(E7="",G7=""),"",G7-E7)</f>
        <v/>
      </c>
      <c r="I7" s="63">
        <f>IF(E7="","Not tracked",IF(E7&lt;=3,"Top 3",IF(E7&lt;=10,"Page 1",IF(E7&lt;=20,"Page 2 - near win","Page 3+"))))</f>
        <v/>
      </c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 t="n"/>
      <c r="AG7" s="75" t="n"/>
      <c r="AH7" s="75" t="n"/>
      <c r="AI7" s="75" t="n"/>
    </row>
    <row r="8" ht="15" customHeight="1" s="54">
      <c r="A8" s="63" t="n">
        <v>4</v>
      </c>
      <c r="B8" s="72">
        <f>'Keyword Master'!B8</f>
        <v/>
      </c>
      <c r="C8" s="72">
        <f>'Keyword Master'!C8</f>
        <v/>
      </c>
      <c r="D8" s="72">
        <f>'Keyword Master'!M8</f>
        <v/>
      </c>
      <c r="E8" s="73">
        <f>IFERROR(LOOKUP(9.99E+307,J8:AI8),"")</f>
        <v/>
      </c>
      <c r="F8" s="63">
        <f>IFERROR(SMALL(J8:AI8,1),"")</f>
        <v/>
      </c>
      <c r="G8" s="74" t="n"/>
      <c r="H8" s="73">
        <f>IF(OR(E8="",G8=""),"",G8-E8)</f>
        <v/>
      </c>
      <c r="I8" s="63">
        <f>IF(E8="","Not tracked",IF(E8&lt;=3,"Top 3",IF(E8&lt;=10,"Page 1",IF(E8&lt;=20,"Page 2 - near win","Page 3+"))))</f>
        <v/>
      </c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</row>
    <row r="9" ht="15" customHeight="1" s="54">
      <c r="A9" s="63" t="n">
        <v>5</v>
      </c>
      <c r="B9" s="72">
        <f>'Keyword Master'!B9</f>
        <v/>
      </c>
      <c r="C9" s="72">
        <f>'Keyword Master'!C9</f>
        <v/>
      </c>
      <c r="D9" s="72">
        <f>'Keyword Master'!M9</f>
        <v/>
      </c>
      <c r="E9" s="73">
        <f>IFERROR(LOOKUP(9.99E+307,J9:AI9),"")</f>
        <v/>
      </c>
      <c r="F9" s="63">
        <f>IFERROR(SMALL(J9:AI9,1),"")</f>
        <v/>
      </c>
      <c r="G9" s="74" t="n"/>
      <c r="H9" s="73">
        <f>IF(OR(E9="",G9=""),"",G9-E9)</f>
        <v/>
      </c>
      <c r="I9" s="63">
        <f>IF(E9="","Not tracked",IF(E9&lt;=3,"Top 3",IF(E9&lt;=10,"Page 1",IF(E9&lt;=20,"Page 2 - near win","Page 3+"))))</f>
        <v/>
      </c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</row>
    <row r="10" ht="15" customHeight="1" s="54">
      <c r="A10" s="63" t="n">
        <v>6</v>
      </c>
      <c r="B10" s="72">
        <f>'Keyword Master'!B10</f>
        <v/>
      </c>
      <c r="C10" s="72">
        <f>'Keyword Master'!C10</f>
        <v/>
      </c>
      <c r="D10" s="72">
        <f>'Keyword Master'!M10</f>
        <v/>
      </c>
      <c r="E10" s="73">
        <f>IFERROR(LOOKUP(9.99E+307,J10:AI10),"")</f>
        <v/>
      </c>
      <c r="F10" s="63">
        <f>IFERROR(SMALL(J10:AI10,1),"")</f>
        <v/>
      </c>
      <c r="G10" s="74" t="n"/>
      <c r="H10" s="73">
        <f>IF(OR(E10="",G10=""),"",G10-E10)</f>
        <v/>
      </c>
      <c r="I10" s="63">
        <f>IF(E10="","Not tracked",IF(E10&lt;=3,"Top 3",IF(E10&lt;=10,"Page 1",IF(E10&lt;=20,"Page 2 - near win","Page 3+"))))</f>
        <v/>
      </c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</row>
    <row r="11" ht="15" customHeight="1" s="54">
      <c r="A11" s="63" t="n">
        <v>7</v>
      </c>
      <c r="B11" s="72">
        <f>'Keyword Master'!B11</f>
        <v/>
      </c>
      <c r="C11" s="72">
        <f>'Keyword Master'!C11</f>
        <v/>
      </c>
      <c r="D11" s="72">
        <f>'Keyword Master'!M11</f>
        <v/>
      </c>
      <c r="E11" s="73">
        <f>IFERROR(LOOKUP(9.99E+307,J11:AI11),"")</f>
        <v/>
      </c>
      <c r="F11" s="63">
        <f>IFERROR(SMALL(J11:AI11,1),"")</f>
        <v/>
      </c>
      <c r="G11" s="74" t="n"/>
      <c r="H11" s="73">
        <f>IF(OR(E11="",G11=""),"",G11-E11)</f>
        <v/>
      </c>
      <c r="I11" s="63">
        <f>IF(E11="","Not tracked",IF(E11&lt;=3,"Top 3",IF(E11&lt;=10,"Page 1",IF(E11&lt;=20,"Page 2 - near win","Page 3+"))))</f>
        <v/>
      </c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75" t="n"/>
    </row>
    <row r="12" ht="15" customHeight="1" s="54">
      <c r="A12" s="63" t="n">
        <v>8</v>
      </c>
      <c r="B12" s="72">
        <f>'Keyword Master'!B12</f>
        <v/>
      </c>
      <c r="C12" s="72">
        <f>'Keyword Master'!C12</f>
        <v/>
      </c>
      <c r="D12" s="72">
        <f>'Keyword Master'!M12</f>
        <v/>
      </c>
      <c r="E12" s="73">
        <f>IFERROR(LOOKUP(9.99E+307,J12:AI12),"")</f>
        <v/>
      </c>
      <c r="F12" s="63">
        <f>IFERROR(SMALL(J12:AI12,1),"")</f>
        <v/>
      </c>
      <c r="G12" s="74" t="n"/>
      <c r="H12" s="73">
        <f>IF(OR(E12="",G12=""),"",G12-E12)</f>
        <v/>
      </c>
      <c r="I12" s="63">
        <f>IF(E12="","Not tracked",IF(E12&lt;=3,"Top 3",IF(E12&lt;=10,"Page 1",IF(E12&lt;=20,"Page 2 - near win","Page 3+"))))</f>
        <v/>
      </c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75" t="n"/>
    </row>
    <row r="13" ht="15" customHeight="1" s="54">
      <c r="A13" s="63" t="n">
        <v>9</v>
      </c>
      <c r="B13" s="72">
        <f>'Keyword Master'!B13</f>
        <v/>
      </c>
      <c r="C13" s="72">
        <f>'Keyword Master'!C13</f>
        <v/>
      </c>
      <c r="D13" s="72">
        <f>'Keyword Master'!M13</f>
        <v/>
      </c>
      <c r="E13" s="73">
        <f>IFERROR(LOOKUP(9.99E+307,J13:AI13),"")</f>
        <v/>
      </c>
      <c r="F13" s="63">
        <f>IFERROR(SMALL(J13:AI13,1),"")</f>
        <v/>
      </c>
      <c r="G13" s="74" t="n"/>
      <c r="H13" s="73">
        <f>IF(OR(E13="",G13=""),"",G13-E13)</f>
        <v/>
      </c>
      <c r="I13" s="63">
        <f>IF(E13="","Not tracked",IF(E13&lt;=3,"Top 3",IF(E13&lt;=10,"Page 1",IF(E13&lt;=20,"Page 2 - near win","Page 3+"))))</f>
        <v/>
      </c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</row>
    <row r="14" ht="15" customHeight="1" s="54">
      <c r="A14" s="63" t="n">
        <v>10</v>
      </c>
      <c r="B14" s="72">
        <f>'Keyword Master'!B14</f>
        <v/>
      </c>
      <c r="C14" s="72">
        <f>'Keyword Master'!C14</f>
        <v/>
      </c>
      <c r="D14" s="72">
        <f>'Keyword Master'!M14</f>
        <v/>
      </c>
      <c r="E14" s="73">
        <f>IFERROR(LOOKUP(9.99E+307,J14:AI14),"")</f>
        <v/>
      </c>
      <c r="F14" s="63">
        <f>IFERROR(SMALL(J14:AI14,1),"")</f>
        <v/>
      </c>
      <c r="G14" s="74" t="n"/>
      <c r="H14" s="73">
        <f>IF(OR(E14="",G14=""),"",G14-E14)</f>
        <v/>
      </c>
      <c r="I14" s="63">
        <f>IF(E14="","Not tracked",IF(E14&lt;=3,"Top 3",IF(E14&lt;=10,"Page 1",IF(E14&lt;=20,"Page 2 - near win","Page 3+"))))</f>
        <v/>
      </c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</row>
    <row r="15" ht="15" customHeight="1" s="54">
      <c r="A15" s="63" t="n">
        <v>11</v>
      </c>
      <c r="B15" s="72">
        <f>'Keyword Master'!B15</f>
        <v/>
      </c>
      <c r="C15" s="72">
        <f>'Keyword Master'!C15</f>
        <v/>
      </c>
      <c r="D15" s="72">
        <f>'Keyword Master'!M15</f>
        <v/>
      </c>
      <c r="E15" s="73">
        <f>IFERROR(LOOKUP(9.99E+307,J15:AI15),"")</f>
        <v/>
      </c>
      <c r="F15" s="63">
        <f>IFERROR(SMALL(J15:AI15,1),"")</f>
        <v/>
      </c>
      <c r="G15" s="74" t="n"/>
      <c r="H15" s="73">
        <f>IF(OR(E15="",G15=""),"",G15-E15)</f>
        <v/>
      </c>
      <c r="I15" s="63">
        <f>IF(E15="","Not tracked",IF(E15&lt;=3,"Top 3",IF(E15&lt;=10,"Page 1",IF(E15&lt;=20,"Page 2 - near win","Page 3+"))))</f>
        <v/>
      </c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</row>
    <row r="16" ht="15" customHeight="1" s="54">
      <c r="A16" s="63" t="n">
        <v>12</v>
      </c>
      <c r="B16" s="72">
        <f>'Keyword Master'!B16</f>
        <v/>
      </c>
      <c r="C16" s="72">
        <f>'Keyword Master'!C16</f>
        <v/>
      </c>
      <c r="D16" s="72">
        <f>'Keyword Master'!M16</f>
        <v/>
      </c>
      <c r="E16" s="73">
        <f>IFERROR(LOOKUP(9.99E+307,J16:AI16),"")</f>
        <v/>
      </c>
      <c r="F16" s="63">
        <f>IFERROR(SMALL(J16:AI16,1),"")</f>
        <v/>
      </c>
      <c r="G16" s="74" t="n"/>
      <c r="H16" s="73">
        <f>IF(OR(E16="",G16=""),"",G16-E16)</f>
        <v/>
      </c>
      <c r="I16" s="63">
        <f>IF(E16="","Not tracked",IF(E16&lt;=3,"Top 3",IF(E16&lt;=10,"Page 1",IF(E16&lt;=20,"Page 2 - near win","Page 3+"))))</f>
        <v/>
      </c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</row>
    <row r="17" ht="15" customHeight="1" s="54">
      <c r="A17" s="63" t="n">
        <v>13</v>
      </c>
      <c r="B17" s="72">
        <f>'Keyword Master'!B17</f>
        <v/>
      </c>
      <c r="C17" s="72">
        <f>'Keyword Master'!C17</f>
        <v/>
      </c>
      <c r="D17" s="72">
        <f>'Keyword Master'!M17</f>
        <v/>
      </c>
      <c r="E17" s="73">
        <f>IFERROR(LOOKUP(9.99E+307,J17:AI17),"")</f>
        <v/>
      </c>
      <c r="F17" s="63">
        <f>IFERROR(SMALL(J17:AI17,1),"")</f>
        <v/>
      </c>
      <c r="G17" s="74" t="n"/>
      <c r="H17" s="73">
        <f>IF(OR(E17="",G17=""),"",G17-E17)</f>
        <v/>
      </c>
      <c r="I17" s="63">
        <f>IF(E17="","Not tracked",IF(E17&lt;=3,"Top 3",IF(E17&lt;=10,"Page 1",IF(E17&lt;=20,"Page 2 - near win","Page 3+"))))</f>
        <v/>
      </c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  <c r="AF17" s="75" t="n"/>
      <c r="AG17" s="75" t="n"/>
      <c r="AH17" s="75" t="n"/>
      <c r="AI17" s="75" t="n"/>
    </row>
    <row r="18" ht="15" customHeight="1" s="54">
      <c r="A18" s="63" t="n">
        <v>14</v>
      </c>
      <c r="B18" s="72">
        <f>'Keyword Master'!B18</f>
        <v/>
      </c>
      <c r="C18" s="72">
        <f>'Keyword Master'!C18</f>
        <v/>
      </c>
      <c r="D18" s="72">
        <f>'Keyword Master'!M18</f>
        <v/>
      </c>
      <c r="E18" s="73">
        <f>IFERROR(LOOKUP(9.99E+307,J18:AI18),"")</f>
        <v/>
      </c>
      <c r="F18" s="63">
        <f>IFERROR(SMALL(J18:AI18,1),"")</f>
        <v/>
      </c>
      <c r="G18" s="74" t="n"/>
      <c r="H18" s="73">
        <f>IF(OR(E18="",G18=""),"",G18-E18)</f>
        <v/>
      </c>
      <c r="I18" s="63">
        <f>IF(E18="","Not tracked",IF(E18&lt;=3,"Top 3",IF(E18&lt;=10,"Page 1",IF(E18&lt;=20,"Page 2 - near win","Page 3+"))))</f>
        <v/>
      </c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</row>
    <row r="19" ht="15" customHeight="1" s="54">
      <c r="A19" s="63" t="n">
        <v>15</v>
      </c>
      <c r="B19" s="72">
        <f>'Keyword Master'!B19</f>
        <v/>
      </c>
      <c r="C19" s="72">
        <f>'Keyword Master'!C19</f>
        <v/>
      </c>
      <c r="D19" s="72">
        <f>'Keyword Master'!M19</f>
        <v/>
      </c>
      <c r="E19" s="73">
        <f>IFERROR(LOOKUP(9.99E+307,J19:AI19),"")</f>
        <v/>
      </c>
      <c r="F19" s="63">
        <f>IFERROR(SMALL(J19:AI19,1),"")</f>
        <v/>
      </c>
      <c r="G19" s="74" t="n"/>
      <c r="H19" s="73">
        <f>IF(OR(E19="",G19=""),"",G19-E19)</f>
        <v/>
      </c>
      <c r="I19" s="63">
        <f>IF(E19="","Not tracked",IF(E19&lt;=3,"Top 3",IF(E19&lt;=10,"Page 1",IF(E19&lt;=20,"Page 2 - near win","Page 3+"))))</f>
        <v/>
      </c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</row>
    <row r="20" ht="15" customHeight="1" s="54">
      <c r="A20" s="63" t="n">
        <v>16</v>
      </c>
      <c r="B20" s="72">
        <f>'Keyword Master'!B20</f>
        <v/>
      </c>
      <c r="C20" s="72">
        <f>'Keyword Master'!C20</f>
        <v/>
      </c>
      <c r="D20" s="72">
        <f>'Keyword Master'!M20</f>
        <v/>
      </c>
      <c r="E20" s="73">
        <f>IFERROR(LOOKUP(9.99E+307,J20:AI20),"")</f>
        <v/>
      </c>
      <c r="F20" s="63">
        <f>IFERROR(SMALL(J20:AI20,1),"")</f>
        <v/>
      </c>
      <c r="G20" s="74" t="n"/>
      <c r="H20" s="73">
        <f>IF(OR(E20="",G20=""),"",G20-E20)</f>
        <v/>
      </c>
      <c r="I20" s="63">
        <f>IF(E20="","Not tracked",IF(E20&lt;=3,"Top 3",IF(E20&lt;=10,"Page 1",IF(E20&lt;=20,"Page 2 - near win","Page 3+"))))</f>
        <v/>
      </c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</row>
    <row r="21" ht="15" customHeight="1" s="54">
      <c r="A21" s="63" t="n">
        <v>17</v>
      </c>
      <c r="B21" s="72">
        <f>'Keyword Master'!B21</f>
        <v/>
      </c>
      <c r="C21" s="72">
        <f>'Keyword Master'!C21</f>
        <v/>
      </c>
      <c r="D21" s="72">
        <f>'Keyword Master'!M21</f>
        <v/>
      </c>
      <c r="E21" s="73">
        <f>IFERROR(LOOKUP(9.99E+307,J21:AI21),"")</f>
        <v/>
      </c>
      <c r="F21" s="63">
        <f>IFERROR(SMALL(J21:AI21,1),"")</f>
        <v/>
      </c>
      <c r="G21" s="74" t="n"/>
      <c r="H21" s="73">
        <f>IF(OR(E21="",G21=""),"",G21-E21)</f>
        <v/>
      </c>
      <c r="I21" s="63">
        <f>IF(E21="","Not tracked",IF(E21&lt;=3,"Top 3",IF(E21&lt;=10,"Page 1",IF(E21&lt;=20,"Page 2 - near win","Page 3+"))))</f>
        <v/>
      </c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</row>
    <row r="22" ht="15" customHeight="1" s="54">
      <c r="A22" s="63" t="n">
        <v>18</v>
      </c>
      <c r="B22" s="72">
        <f>'Keyword Master'!B22</f>
        <v/>
      </c>
      <c r="C22" s="72">
        <f>'Keyword Master'!C22</f>
        <v/>
      </c>
      <c r="D22" s="72">
        <f>'Keyword Master'!M22</f>
        <v/>
      </c>
      <c r="E22" s="73">
        <f>IFERROR(LOOKUP(9.99E+307,J22:AI22),"")</f>
        <v/>
      </c>
      <c r="F22" s="63">
        <f>IFERROR(SMALL(J22:AI22,1),"")</f>
        <v/>
      </c>
      <c r="G22" s="74" t="n"/>
      <c r="H22" s="73">
        <f>IF(OR(E22="",G22=""),"",G22-E22)</f>
        <v/>
      </c>
      <c r="I22" s="63">
        <f>IF(E22="","Not tracked",IF(E22&lt;=3,"Top 3",IF(E22&lt;=10,"Page 1",IF(E22&lt;=20,"Page 2 - near win","Page 3+"))))</f>
        <v/>
      </c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</row>
    <row r="23" ht="15" customHeight="1" s="54">
      <c r="A23" s="63" t="n">
        <v>19</v>
      </c>
      <c r="B23" s="72">
        <f>'Keyword Master'!B23</f>
        <v/>
      </c>
      <c r="C23" s="72">
        <f>'Keyword Master'!C23</f>
        <v/>
      </c>
      <c r="D23" s="72">
        <f>'Keyword Master'!M23</f>
        <v/>
      </c>
      <c r="E23" s="73">
        <f>IFERROR(LOOKUP(9.99E+307,J23:AI23),"")</f>
        <v/>
      </c>
      <c r="F23" s="63">
        <f>IFERROR(SMALL(J23:AI23,1),"")</f>
        <v/>
      </c>
      <c r="G23" s="74" t="n"/>
      <c r="H23" s="73">
        <f>IF(OR(E23="",G23=""),"",G23-E23)</f>
        <v/>
      </c>
      <c r="I23" s="63">
        <f>IF(E23="","Not tracked",IF(E23&lt;=3,"Top 3",IF(E23&lt;=10,"Page 1",IF(E23&lt;=20,"Page 2 - near win","Page 3+"))))</f>
        <v/>
      </c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</row>
    <row r="24" ht="15" customHeight="1" s="54">
      <c r="A24" s="63" t="n">
        <v>20</v>
      </c>
      <c r="B24" s="72">
        <f>'Keyword Master'!B24</f>
        <v/>
      </c>
      <c r="C24" s="72">
        <f>'Keyword Master'!C24</f>
        <v/>
      </c>
      <c r="D24" s="72">
        <f>'Keyword Master'!M24</f>
        <v/>
      </c>
      <c r="E24" s="73">
        <f>IFERROR(LOOKUP(9.99E+307,J24:AI24),"")</f>
        <v/>
      </c>
      <c r="F24" s="63">
        <f>IFERROR(SMALL(J24:AI24,1),"")</f>
        <v/>
      </c>
      <c r="G24" s="74" t="n"/>
      <c r="H24" s="73">
        <f>IF(OR(E24="",G24=""),"",G24-E24)</f>
        <v/>
      </c>
      <c r="I24" s="63">
        <f>IF(E24="","Not tracked",IF(E24&lt;=3,"Top 3",IF(E24&lt;=10,"Page 1",IF(E24&lt;=20,"Page 2 - near win","Page 3+"))))</f>
        <v/>
      </c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</row>
    <row r="25" ht="15" customHeight="1" s="54">
      <c r="A25" s="63" t="n">
        <v>21</v>
      </c>
      <c r="B25" s="72">
        <f>'Keyword Master'!B25</f>
        <v/>
      </c>
      <c r="C25" s="72">
        <f>'Keyword Master'!C25</f>
        <v/>
      </c>
      <c r="D25" s="72">
        <f>'Keyword Master'!M25</f>
        <v/>
      </c>
      <c r="E25" s="73">
        <f>IFERROR(LOOKUP(9.99E+307,J25:AI25),"")</f>
        <v/>
      </c>
      <c r="F25" s="63">
        <f>IFERROR(SMALL(J25:AI25,1),"")</f>
        <v/>
      </c>
      <c r="G25" s="74" t="n"/>
      <c r="H25" s="73">
        <f>IF(OR(E25="",G25=""),"",G25-E25)</f>
        <v/>
      </c>
      <c r="I25" s="63">
        <f>IF(E25="","Not tracked",IF(E25&lt;=3,"Top 3",IF(E25&lt;=10,"Page 1",IF(E25&lt;=20,"Page 2 - near win","Page 3+"))))</f>
        <v/>
      </c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</row>
    <row r="26" ht="15" customHeight="1" s="54">
      <c r="A26" s="63" t="n">
        <v>22</v>
      </c>
      <c r="B26" s="72">
        <f>'Keyword Master'!B26</f>
        <v/>
      </c>
      <c r="C26" s="72">
        <f>'Keyword Master'!C26</f>
        <v/>
      </c>
      <c r="D26" s="72">
        <f>'Keyword Master'!M26</f>
        <v/>
      </c>
      <c r="E26" s="73">
        <f>IFERROR(LOOKUP(9.99E+307,J26:AI26),"")</f>
        <v/>
      </c>
      <c r="F26" s="63">
        <f>IFERROR(SMALL(J26:AI26,1),"")</f>
        <v/>
      </c>
      <c r="G26" s="74" t="n"/>
      <c r="H26" s="73">
        <f>IF(OR(E26="",G26=""),"",G26-E26)</f>
        <v/>
      </c>
      <c r="I26" s="63">
        <f>IF(E26="","Not tracked",IF(E26&lt;=3,"Top 3",IF(E26&lt;=10,"Page 1",IF(E26&lt;=20,"Page 2 - near win","Page 3+"))))</f>
        <v/>
      </c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</row>
    <row r="27" ht="15" customHeight="1" s="54">
      <c r="A27" s="63" t="n">
        <v>23</v>
      </c>
      <c r="B27" s="72">
        <f>'Keyword Master'!B27</f>
        <v/>
      </c>
      <c r="C27" s="72">
        <f>'Keyword Master'!C27</f>
        <v/>
      </c>
      <c r="D27" s="72">
        <f>'Keyword Master'!M27</f>
        <v/>
      </c>
      <c r="E27" s="73">
        <f>IFERROR(LOOKUP(9.99E+307,J27:AI27),"")</f>
        <v/>
      </c>
      <c r="F27" s="63">
        <f>IFERROR(SMALL(J27:AI27,1),"")</f>
        <v/>
      </c>
      <c r="G27" s="74" t="n"/>
      <c r="H27" s="73">
        <f>IF(OR(E27="",G27=""),"",G27-E27)</f>
        <v/>
      </c>
      <c r="I27" s="63">
        <f>IF(E27="","Not tracked",IF(E27&lt;=3,"Top 3",IF(E27&lt;=10,"Page 1",IF(E27&lt;=20,"Page 2 - near win","Page 3+"))))</f>
        <v/>
      </c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</row>
    <row r="28" ht="15" customHeight="1" s="54">
      <c r="A28" s="63" t="n">
        <v>24</v>
      </c>
      <c r="B28" s="72">
        <f>'Keyword Master'!B28</f>
        <v/>
      </c>
      <c r="C28" s="72">
        <f>'Keyword Master'!C28</f>
        <v/>
      </c>
      <c r="D28" s="72">
        <f>'Keyword Master'!M28</f>
        <v/>
      </c>
      <c r="E28" s="73">
        <f>IFERROR(LOOKUP(9.99E+307,J28:AI28),"")</f>
        <v/>
      </c>
      <c r="F28" s="63">
        <f>IFERROR(SMALL(J28:AI28,1),"")</f>
        <v/>
      </c>
      <c r="G28" s="74" t="n"/>
      <c r="H28" s="73">
        <f>IF(OR(E28="",G28=""),"",G28-E28)</f>
        <v/>
      </c>
      <c r="I28" s="63">
        <f>IF(E28="","Not tracked",IF(E28&lt;=3,"Top 3",IF(E28&lt;=10,"Page 1",IF(E28&lt;=20,"Page 2 - near win","Page 3+"))))</f>
        <v/>
      </c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</row>
    <row r="29" ht="15" customHeight="1" s="54">
      <c r="A29" s="63" t="n">
        <v>25</v>
      </c>
      <c r="B29" s="72">
        <f>'Keyword Master'!B29</f>
        <v/>
      </c>
      <c r="C29" s="72">
        <f>'Keyword Master'!C29</f>
        <v/>
      </c>
      <c r="D29" s="72">
        <f>'Keyword Master'!M29</f>
        <v/>
      </c>
      <c r="E29" s="73">
        <f>IFERROR(LOOKUP(9.99E+307,J29:AI29),"")</f>
        <v/>
      </c>
      <c r="F29" s="63">
        <f>IFERROR(SMALL(J29:AI29,1),"")</f>
        <v/>
      </c>
      <c r="G29" s="74" t="n"/>
      <c r="H29" s="73">
        <f>IF(OR(E29="",G29=""),"",G29-E29)</f>
        <v/>
      </c>
      <c r="I29" s="63">
        <f>IF(E29="","Not tracked",IF(E29&lt;=3,"Top 3",IF(E29&lt;=10,"Page 1",IF(E29&lt;=20,"Page 2 - near win","Page 3+"))))</f>
        <v/>
      </c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</row>
    <row r="30" ht="15" customHeight="1" s="54">
      <c r="A30" s="63" t="n">
        <v>26</v>
      </c>
      <c r="B30" s="72">
        <f>'Keyword Master'!B30</f>
        <v/>
      </c>
      <c r="C30" s="72">
        <f>'Keyword Master'!C30</f>
        <v/>
      </c>
      <c r="D30" s="72">
        <f>'Keyword Master'!M30</f>
        <v/>
      </c>
      <c r="E30" s="73">
        <f>IFERROR(LOOKUP(9.99E+307,J30:AI30),"")</f>
        <v/>
      </c>
      <c r="F30" s="63">
        <f>IFERROR(SMALL(J30:AI30,1),"")</f>
        <v/>
      </c>
      <c r="G30" s="74" t="n"/>
      <c r="H30" s="73">
        <f>IF(OR(E30="",G30=""),"",G30-E30)</f>
        <v/>
      </c>
      <c r="I30" s="63">
        <f>IF(E30="","Not tracked",IF(E30&lt;=3,"Top 3",IF(E30&lt;=10,"Page 1",IF(E30&lt;=20,"Page 2 - near win","Page 3+"))))</f>
        <v/>
      </c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</row>
    <row r="31" ht="15" customHeight="1" s="54">
      <c r="A31" s="63" t="n">
        <v>27</v>
      </c>
      <c r="B31" s="72">
        <f>'Keyword Master'!B31</f>
        <v/>
      </c>
      <c r="C31" s="72">
        <f>'Keyword Master'!C31</f>
        <v/>
      </c>
      <c r="D31" s="72">
        <f>'Keyword Master'!M31</f>
        <v/>
      </c>
      <c r="E31" s="73">
        <f>IFERROR(LOOKUP(9.99E+307,J31:AI31),"")</f>
        <v/>
      </c>
      <c r="F31" s="63">
        <f>IFERROR(SMALL(J31:AI31,1),"")</f>
        <v/>
      </c>
      <c r="G31" s="74" t="n"/>
      <c r="H31" s="73">
        <f>IF(OR(E31="",G31=""),"",G31-E31)</f>
        <v/>
      </c>
      <c r="I31" s="63">
        <f>IF(E31="","Not tracked",IF(E31&lt;=3,"Top 3",IF(E31&lt;=10,"Page 1",IF(E31&lt;=20,"Page 2 - near win","Page 3+"))))</f>
        <v/>
      </c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</row>
    <row r="32" ht="15" customHeight="1" s="54">
      <c r="A32" s="63" t="n">
        <v>28</v>
      </c>
      <c r="B32" s="72">
        <f>'Keyword Master'!B32</f>
        <v/>
      </c>
      <c r="C32" s="72">
        <f>'Keyword Master'!C32</f>
        <v/>
      </c>
      <c r="D32" s="72">
        <f>'Keyword Master'!M32</f>
        <v/>
      </c>
      <c r="E32" s="73">
        <f>IFERROR(LOOKUP(9.99E+307,J32:AI32),"")</f>
        <v/>
      </c>
      <c r="F32" s="63">
        <f>IFERROR(SMALL(J32:AI32,1),"")</f>
        <v/>
      </c>
      <c r="G32" s="74" t="n"/>
      <c r="H32" s="73">
        <f>IF(OR(E32="",G32=""),"",G32-E32)</f>
        <v/>
      </c>
      <c r="I32" s="63">
        <f>IF(E32="","Not tracked",IF(E32&lt;=3,"Top 3",IF(E32&lt;=10,"Page 1",IF(E32&lt;=20,"Page 2 - near win","Page 3+"))))</f>
        <v/>
      </c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</row>
    <row r="33" ht="15" customHeight="1" s="54">
      <c r="A33" s="63" t="n">
        <v>29</v>
      </c>
      <c r="B33" s="72">
        <f>'Keyword Master'!B33</f>
        <v/>
      </c>
      <c r="C33" s="72">
        <f>'Keyword Master'!C33</f>
        <v/>
      </c>
      <c r="D33" s="72">
        <f>'Keyword Master'!M33</f>
        <v/>
      </c>
      <c r="E33" s="73">
        <f>IFERROR(LOOKUP(9.99E+307,J33:AI33),"")</f>
        <v/>
      </c>
      <c r="F33" s="63">
        <f>IFERROR(SMALL(J33:AI33,1),"")</f>
        <v/>
      </c>
      <c r="G33" s="74" t="n"/>
      <c r="H33" s="73">
        <f>IF(OR(E33="",G33=""),"",G33-E33)</f>
        <v/>
      </c>
      <c r="I33" s="63">
        <f>IF(E33="","Not tracked",IF(E33&lt;=3,"Top 3",IF(E33&lt;=10,"Page 1",IF(E33&lt;=20,"Page 2 - near win","Page 3+"))))</f>
        <v/>
      </c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</row>
    <row r="34" ht="15" customHeight="1" s="54">
      <c r="A34" s="63" t="n">
        <v>30</v>
      </c>
      <c r="B34" s="72">
        <f>'Keyword Master'!B34</f>
        <v/>
      </c>
      <c r="C34" s="72">
        <f>'Keyword Master'!C34</f>
        <v/>
      </c>
      <c r="D34" s="72">
        <f>'Keyword Master'!M34</f>
        <v/>
      </c>
      <c r="E34" s="73">
        <f>IFERROR(LOOKUP(9.99E+307,J34:AI34),"")</f>
        <v/>
      </c>
      <c r="F34" s="63">
        <f>IFERROR(SMALL(J34:AI34,1),"")</f>
        <v/>
      </c>
      <c r="G34" s="74" t="n"/>
      <c r="H34" s="73">
        <f>IF(OR(E34="",G34=""),"",G34-E34)</f>
        <v/>
      </c>
      <c r="I34" s="63">
        <f>IF(E34="","Not tracked",IF(E34&lt;=3,"Top 3",IF(E34&lt;=10,"Page 1",IF(E34&lt;=20,"Page 2 - near win","Page 3+"))))</f>
        <v/>
      </c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</row>
    <row r="35" ht="15" customHeight="1" s="54">
      <c r="A35" s="63" t="n">
        <v>31</v>
      </c>
      <c r="B35" s="72">
        <f>'Keyword Master'!B35</f>
        <v/>
      </c>
      <c r="C35" s="72">
        <f>'Keyword Master'!C35</f>
        <v/>
      </c>
      <c r="D35" s="72">
        <f>'Keyword Master'!M35</f>
        <v/>
      </c>
      <c r="E35" s="73">
        <f>IFERROR(LOOKUP(9.99E+307,J35:AI35),"")</f>
        <v/>
      </c>
      <c r="F35" s="63">
        <f>IFERROR(SMALL(J35:AI35,1),"")</f>
        <v/>
      </c>
      <c r="G35" s="74" t="n"/>
      <c r="H35" s="73">
        <f>IF(OR(E35="",G35=""),"",G35-E35)</f>
        <v/>
      </c>
      <c r="I35" s="63">
        <f>IF(E35="","Not tracked",IF(E35&lt;=3,"Top 3",IF(E35&lt;=10,"Page 1",IF(E35&lt;=20,"Page 2 - near win","Page 3+"))))</f>
        <v/>
      </c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</row>
    <row r="36" ht="15" customHeight="1" s="54">
      <c r="A36" s="63" t="n">
        <v>32</v>
      </c>
      <c r="B36" s="72">
        <f>'Keyword Master'!B36</f>
        <v/>
      </c>
      <c r="C36" s="72">
        <f>'Keyword Master'!C36</f>
        <v/>
      </c>
      <c r="D36" s="72">
        <f>'Keyword Master'!M36</f>
        <v/>
      </c>
      <c r="E36" s="73">
        <f>IFERROR(LOOKUP(9.99E+307,J36:AI36),"")</f>
        <v/>
      </c>
      <c r="F36" s="63">
        <f>IFERROR(SMALL(J36:AI36,1),"")</f>
        <v/>
      </c>
      <c r="G36" s="74" t="n"/>
      <c r="H36" s="73">
        <f>IF(OR(E36="",G36=""),"",G36-E36)</f>
        <v/>
      </c>
      <c r="I36" s="63">
        <f>IF(E36="","Not tracked",IF(E36&lt;=3,"Top 3",IF(E36&lt;=10,"Page 1",IF(E36&lt;=20,"Page 2 - near win","Page 3+"))))</f>
        <v/>
      </c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</row>
    <row r="37" ht="15" customHeight="1" s="54">
      <c r="A37" s="63" t="n">
        <v>33</v>
      </c>
      <c r="B37" s="72">
        <f>'Keyword Master'!B37</f>
        <v/>
      </c>
      <c r="C37" s="72">
        <f>'Keyword Master'!C37</f>
        <v/>
      </c>
      <c r="D37" s="72">
        <f>'Keyword Master'!M37</f>
        <v/>
      </c>
      <c r="E37" s="73">
        <f>IFERROR(LOOKUP(9.99E+307,J37:AI37),"")</f>
        <v/>
      </c>
      <c r="F37" s="63">
        <f>IFERROR(SMALL(J37:AI37,1),"")</f>
        <v/>
      </c>
      <c r="G37" s="74" t="n"/>
      <c r="H37" s="73">
        <f>IF(OR(E37="",G37=""),"",G37-E37)</f>
        <v/>
      </c>
      <c r="I37" s="63">
        <f>IF(E37="","Not tracked",IF(E37&lt;=3,"Top 3",IF(E37&lt;=10,"Page 1",IF(E37&lt;=20,"Page 2 - near win","Page 3+"))))</f>
        <v/>
      </c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</row>
    <row r="38" ht="15" customHeight="1" s="54">
      <c r="A38" s="63" t="n">
        <v>34</v>
      </c>
      <c r="B38" s="72">
        <f>'Keyword Master'!B38</f>
        <v/>
      </c>
      <c r="C38" s="72">
        <f>'Keyword Master'!C38</f>
        <v/>
      </c>
      <c r="D38" s="72">
        <f>'Keyword Master'!M38</f>
        <v/>
      </c>
      <c r="E38" s="73">
        <f>IFERROR(LOOKUP(9.99E+307,J38:AI38),"")</f>
        <v/>
      </c>
      <c r="F38" s="63">
        <f>IFERROR(SMALL(J38:AI38,1),"")</f>
        <v/>
      </c>
      <c r="G38" s="74" t="n"/>
      <c r="H38" s="73">
        <f>IF(OR(E38="",G38=""),"",G38-E38)</f>
        <v/>
      </c>
      <c r="I38" s="63">
        <f>IF(E38="","Not tracked",IF(E38&lt;=3,"Top 3",IF(E38&lt;=10,"Page 1",IF(E38&lt;=20,"Page 2 - near win","Page 3+"))))</f>
        <v/>
      </c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</row>
    <row r="39" ht="15" customHeight="1" s="54">
      <c r="A39" s="63" t="n">
        <v>35</v>
      </c>
      <c r="B39" s="72">
        <f>'Keyword Master'!B39</f>
        <v/>
      </c>
      <c r="C39" s="72">
        <f>'Keyword Master'!C39</f>
        <v/>
      </c>
      <c r="D39" s="72">
        <f>'Keyword Master'!M39</f>
        <v/>
      </c>
      <c r="E39" s="73">
        <f>IFERROR(LOOKUP(9.99E+307,J39:AI39),"")</f>
        <v/>
      </c>
      <c r="F39" s="63">
        <f>IFERROR(SMALL(J39:AI39,1),"")</f>
        <v/>
      </c>
      <c r="G39" s="74" t="n"/>
      <c r="H39" s="73">
        <f>IF(OR(E39="",G39=""),"",G39-E39)</f>
        <v/>
      </c>
      <c r="I39" s="63">
        <f>IF(E39="","Not tracked",IF(E39&lt;=3,"Top 3",IF(E39&lt;=10,"Page 1",IF(E39&lt;=20,"Page 2 - near win","Page 3+"))))</f>
        <v/>
      </c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</row>
    <row r="40" ht="15" customHeight="1" s="54">
      <c r="A40" s="63" t="n">
        <v>36</v>
      </c>
      <c r="B40" s="72">
        <f>'Keyword Master'!B40</f>
        <v/>
      </c>
      <c r="C40" s="72">
        <f>'Keyword Master'!C40</f>
        <v/>
      </c>
      <c r="D40" s="72">
        <f>'Keyword Master'!M40</f>
        <v/>
      </c>
      <c r="E40" s="73">
        <f>IFERROR(LOOKUP(9.99E+307,J40:AI40),"")</f>
        <v/>
      </c>
      <c r="F40" s="63">
        <f>IFERROR(SMALL(J40:AI40,1),"")</f>
        <v/>
      </c>
      <c r="G40" s="74" t="n"/>
      <c r="H40" s="73">
        <f>IF(OR(E40="",G40=""),"",G40-E40)</f>
        <v/>
      </c>
      <c r="I40" s="63">
        <f>IF(E40="","Not tracked",IF(E40&lt;=3,"Top 3",IF(E40&lt;=10,"Page 1",IF(E40&lt;=20,"Page 2 - near win","Page 3+"))))</f>
        <v/>
      </c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</row>
    <row r="41" ht="15" customHeight="1" s="54">
      <c r="A41" s="63" t="n">
        <v>37</v>
      </c>
      <c r="B41" s="72">
        <f>'Keyword Master'!B41</f>
        <v/>
      </c>
      <c r="C41" s="72">
        <f>'Keyword Master'!C41</f>
        <v/>
      </c>
      <c r="D41" s="72">
        <f>'Keyword Master'!M41</f>
        <v/>
      </c>
      <c r="E41" s="73">
        <f>IFERROR(LOOKUP(9.99E+307,J41:AI41),"")</f>
        <v/>
      </c>
      <c r="F41" s="63">
        <f>IFERROR(SMALL(J41:AI41,1),"")</f>
        <v/>
      </c>
      <c r="G41" s="74" t="n"/>
      <c r="H41" s="73">
        <f>IF(OR(E41="",G41=""),"",G41-E41)</f>
        <v/>
      </c>
      <c r="I41" s="63">
        <f>IF(E41="","Not tracked",IF(E41&lt;=3,"Top 3",IF(E41&lt;=10,"Page 1",IF(E41&lt;=20,"Page 2 - near win","Page 3+"))))</f>
        <v/>
      </c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</row>
    <row r="42" ht="15" customHeight="1" s="54">
      <c r="A42" s="63" t="n">
        <v>38</v>
      </c>
      <c r="B42" s="72">
        <f>'Keyword Master'!B42</f>
        <v/>
      </c>
      <c r="C42" s="72">
        <f>'Keyword Master'!C42</f>
        <v/>
      </c>
      <c r="D42" s="72">
        <f>'Keyword Master'!M42</f>
        <v/>
      </c>
      <c r="E42" s="73">
        <f>IFERROR(LOOKUP(9.99E+307,J42:AI42),"")</f>
        <v/>
      </c>
      <c r="F42" s="63">
        <f>IFERROR(SMALL(J42:AI42,1),"")</f>
        <v/>
      </c>
      <c r="G42" s="74" t="n"/>
      <c r="H42" s="73">
        <f>IF(OR(E42="",G42=""),"",G42-E42)</f>
        <v/>
      </c>
      <c r="I42" s="63">
        <f>IF(E42="","Not tracked",IF(E42&lt;=3,"Top 3",IF(E42&lt;=10,"Page 1",IF(E42&lt;=20,"Page 2 - near win","Page 3+"))))</f>
        <v/>
      </c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</row>
    <row r="43" ht="15" customHeight="1" s="54">
      <c r="A43" s="63" t="n">
        <v>39</v>
      </c>
      <c r="B43" s="72">
        <f>'Keyword Master'!B43</f>
        <v/>
      </c>
      <c r="C43" s="72">
        <f>'Keyword Master'!C43</f>
        <v/>
      </c>
      <c r="D43" s="72">
        <f>'Keyword Master'!M43</f>
        <v/>
      </c>
      <c r="E43" s="73">
        <f>IFERROR(LOOKUP(9.99E+307,J43:AI43),"")</f>
        <v/>
      </c>
      <c r="F43" s="63">
        <f>IFERROR(SMALL(J43:AI43,1),"")</f>
        <v/>
      </c>
      <c r="G43" s="74" t="n"/>
      <c r="H43" s="73">
        <f>IF(OR(E43="",G43=""),"",G43-E43)</f>
        <v/>
      </c>
      <c r="I43" s="63">
        <f>IF(E43="","Not tracked",IF(E43&lt;=3,"Top 3",IF(E43&lt;=10,"Page 1",IF(E43&lt;=20,"Page 2 - near win","Page 3+"))))</f>
        <v/>
      </c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</row>
    <row r="44" ht="15" customHeight="1" s="54">
      <c r="A44" s="63" t="n">
        <v>40</v>
      </c>
      <c r="B44" s="72">
        <f>'Keyword Master'!B44</f>
        <v/>
      </c>
      <c r="C44" s="72">
        <f>'Keyword Master'!C44</f>
        <v/>
      </c>
      <c r="D44" s="72">
        <f>'Keyword Master'!M44</f>
        <v/>
      </c>
      <c r="E44" s="73">
        <f>IFERROR(LOOKUP(9.99E+307,J44:AI44),"")</f>
        <v/>
      </c>
      <c r="F44" s="63">
        <f>IFERROR(SMALL(J44:AI44,1),"")</f>
        <v/>
      </c>
      <c r="G44" s="74" t="n"/>
      <c r="H44" s="73">
        <f>IF(OR(E44="",G44=""),"",G44-E44)</f>
        <v/>
      </c>
      <c r="I44" s="63">
        <f>IF(E44="","Not tracked",IF(E44&lt;=3,"Top 3",IF(E44&lt;=10,"Page 1",IF(E44&lt;=20,"Page 2 - near win","Page 3+"))))</f>
        <v/>
      </c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</row>
    <row r="45" ht="15" customHeight="1" s="54">
      <c r="A45" s="63" t="n">
        <v>41</v>
      </c>
      <c r="B45" s="72">
        <f>'Keyword Master'!B45</f>
        <v/>
      </c>
      <c r="C45" s="72">
        <f>'Keyword Master'!C45</f>
        <v/>
      </c>
      <c r="D45" s="72">
        <f>'Keyword Master'!M45</f>
        <v/>
      </c>
      <c r="E45" s="73">
        <f>IFERROR(LOOKUP(9.99E+307,J45:AI45),"")</f>
        <v/>
      </c>
      <c r="F45" s="63">
        <f>IFERROR(SMALL(J45:AI45,1),"")</f>
        <v/>
      </c>
      <c r="G45" s="74" t="n"/>
      <c r="H45" s="73">
        <f>IF(OR(E45="",G45=""),"",G45-E45)</f>
        <v/>
      </c>
      <c r="I45" s="63">
        <f>IF(E45="","Not tracked",IF(E45&lt;=3,"Top 3",IF(E45&lt;=10,"Page 1",IF(E45&lt;=20,"Page 2 - near win","Page 3+"))))</f>
        <v/>
      </c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</row>
    <row r="46" ht="15" customHeight="1" s="54">
      <c r="A46" s="63" t="n">
        <v>42</v>
      </c>
      <c r="B46" s="72">
        <f>'Keyword Master'!B46</f>
        <v/>
      </c>
      <c r="C46" s="72">
        <f>'Keyword Master'!C46</f>
        <v/>
      </c>
      <c r="D46" s="72">
        <f>'Keyword Master'!M46</f>
        <v/>
      </c>
      <c r="E46" s="73">
        <f>IFERROR(LOOKUP(9.99E+307,J46:AI46),"")</f>
        <v/>
      </c>
      <c r="F46" s="63">
        <f>IFERROR(SMALL(J46:AI46,1),"")</f>
        <v/>
      </c>
      <c r="G46" s="74" t="n"/>
      <c r="H46" s="73">
        <f>IF(OR(E46="",G46=""),"",G46-E46)</f>
        <v/>
      </c>
      <c r="I46" s="63">
        <f>IF(E46="","Not tracked",IF(E46&lt;=3,"Top 3",IF(E46&lt;=10,"Page 1",IF(E46&lt;=20,"Page 2 - near win","Page 3+"))))</f>
        <v/>
      </c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</row>
    <row r="47" ht="15" customHeight="1" s="54">
      <c r="A47" s="63" t="n">
        <v>43</v>
      </c>
      <c r="B47" s="72">
        <f>'Keyword Master'!B47</f>
        <v/>
      </c>
      <c r="C47" s="72">
        <f>'Keyword Master'!C47</f>
        <v/>
      </c>
      <c r="D47" s="72">
        <f>'Keyword Master'!M47</f>
        <v/>
      </c>
      <c r="E47" s="73">
        <f>IFERROR(LOOKUP(9.99E+307,J47:AI47),"")</f>
        <v/>
      </c>
      <c r="F47" s="63">
        <f>IFERROR(SMALL(J47:AI47,1),"")</f>
        <v/>
      </c>
      <c r="G47" s="74" t="n"/>
      <c r="H47" s="73">
        <f>IF(OR(E47="",G47=""),"",G47-E47)</f>
        <v/>
      </c>
      <c r="I47" s="63">
        <f>IF(E47="","Not tracked",IF(E47&lt;=3,"Top 3",IF(E47&lt;=10,"Page 1",IF(E47&lt;=20,"Page 2 - near win","Page 3+"))))</f>
        <v/>
      </c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</row>
    <row r="48" ht="15" customHeight="1" s="54">
      <c r="A48" s="63" t="n">
        <v>44</v>
      </c>
      <c r="B48" s="72">
        <f>'Keyword Master'!B48</f>
        <v/>
      </c>
      <c r="C48" s="72">
        <f>'Keyword Master'!C48</f>
        <v/>
      </c>
      <c r="D48" s="72">
        <f>'Keyword Master'!M48</f>
        <v/>
      </c>
      <c r="E48" s="73">
        <f>IFERROR(LOOKUP(9.99E+307,J48:AI48),"")</f>
        <v/>
      </c>
      <c r="F48" s="63">
        <f>IFERROR(SMALL(J48:AI48,1),"")</f>
        <v/>
      </c>
      <c r="G48" s="74" t="n"/>
      <c r="H48" s="73">
        <f>IF(OR(E48="",G48=""),"",G48-E48)</f>
        <v/>
      </c>
      <c r="I48" s="63">
        <f>IF(E48="","Not tracked",IF(E48&lt;=3,"Top 3",IF(E48&lt;=10,"Page 1",IF(E48&lt;=20,"Page 2 - near win","Page 3+"))))</f>
        <v/>
      </c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</row>
    <row r="49" ht="15" customHeight="1" s="54">
      <c r="A49" s="63" t="n">
        <v>45</v>
      </c>
      <c r="B49" s="72">
        <f>'Keyword Master'!B49</f>
        <v/>
      </c>
      <c r="C49" s="72">
        <f>'Keyword Master'!C49</f>
        <v/>
      </c>
      <c r="D49" s="72">
        <f>'Keyword Master'!M49</f>
        <v/>
      </c>
      <c r="E49" s="73">
        <f>IFERROR(LOOKUP(9.99E+307,J49:AI49),"")</f>
        <v/>
      </c>
      <c r="F49" s="63">
        <f>IFERROR(SMALL(J49:AI49,1),"")</f>
        <v/>
      </c>
      <c r="G49" s="74" t="n"/>
      <c r="H49" s="73">
        <f>IF(OR(E49="",G49=""),"",G49-E49)</f>
        <v/>
      </c>
      <c r="I49" s="63">
        <f>IF(E49="","Not tracked",IF(E49&lt;=3,"Top 3",IF(E49&lt;=10,"Page 1",IF(E49&lt;=20,"Page 2 - near win","Page 3+"))))</f>
        <v/>
      </c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</row>
    <row r="50" ht="15" customHeight="1" s="54">
      <c r="A50" s="63" t="n">
        <v>46</v>
      </c>
      <c r="B50" s="72">
        <f>'Keyword Master'!B50</f>
        <v/>
      </c>
      <c r="C50" s="72">
        <f>'Keyword Master'!C50</f>
        <v/>
      </c>
      <c r="D50" s="72">
        <f>'Keyword Master'!M50</f>
        <v/>
      </c>
      <c r="E50" s="73">
        <f>IFERROR(LOOKUP(9.99E+307,J50:AI50),"")</f>
        <v/>
      </c>
      <c r="F50" s="63">
        <f>IFERROR(SMALL(J50:AI50,1),"")</f>
        <v/>
      </c>
      <c r="G50" s="74" t="n"/>
      <c r="H50" s="73">
        <f>IF(OR(E50="",G50=""),"",G50-E50)</f>
        <v/>
      </c>
      <c r="I50" s="63">
        <f>IF(E50="","Not tracked",IF(E50&lt;=3,"Top 3",IF(E50&lt;=10,"Page 1",IF(E50&lt;=20,"Page 2 - near win","Page 3+"))))</f>
        <v/>
      </c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</row>
    <row r="51" ht="15" customHeight="1" s="54">
      <c r="A51" s="63" t="n">
        <v>47</v>
      </c>
      <c r="B51" s="72">
        <f>'Keyword Master'!B51</f>
        <v/>
      </c>
      <c r="C51" s="72">
        <f>'Keyword Master'!C51</f>
        <v/>
      </c>
      <c r="D51" s="72">
        <f>'Keyword Master'!M51</f>
        <v/>
      </c>
      <c r="E51" s="73">
        <f>IFERROR(LOOKUP(9.99E+307,J51:AI51),"")</f>
        <v/>
      </c>
      <c r="F51" s="63">
        <f>IFERROR(SMALL(J51:AI51,1),"")</f>
        <v/>
      </c>
      <c r="G51" s="74" t="n"/>
      <c r="H51" s="73">
        <f>IF(OR(E51="",G51=""),"",G51-E51)</f>
        <v/>
      </c>
      <c r="I51" s="63">
        <f>IF(E51="","Not tracked",IF(E51&lt;=3,"Top 3",IF(E51&lt;=10,"Page 1",IF(E51&lt;=20,"Page 2 - near win","Page 3+"))))</f>
        <v/>
      </c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</row>
    <row r="52" ht="15" customHeight="1" s="54">
      <c r="A52" s="63" t="n">
        <v>48</v>
      </c>
      <c r="B52" s="72">
        <f>'Keyword Master'!B52</f>
        <v/>
      </c>
      <c r="C52" s="72">
        <f>'Keyword Master'!C52</f>
        <v/>
      </c>
      <c r="D52" s="72">
        <f>'Keyword Master'!M52</f>
        <v/>
      </c>
      <c r="E52" s="73">
        <f>IFERROR(LOOKUP(9.99E+307,J52:AI52),"")</f>
        <v/>
      </c>
      <c r="F52" s="63">
        <f>IFERROR(SMALL(J52:AI52,1),"")</f>
        <v/>
      </c>
      <c r="G52" s="74" t="n"/>
      <c r="H52" s="73">
        <f>IF(OR(E52="",G52=""),"",G52-E52)</f>
        <v/>
      </c>
      <c r="I52" s="63">
        <f>IF(E52="","Not tracked",IF(E52&lt;=3,"Top 3",IF(E52&lt;=10,"Page 1",IF(E52&lt;=20,"Page 2 - near win","Page 3+"))))</f>
        <v/>
      </c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</row>
    <row r="53" ht="15" customHeight="1" s="54">
      <c r="A53" s="63" t="n">
        <v>49</v>
      </c>
      <c r="B53" s="72">
        <f>'Keyword Master'!B53</f>
        <v/>
      </c>
      <c r="C53" s="72">
        <f>'Keyword Master'!C53</f>
        <v/>
      </c>
      <c r="D53" s="72">
        <f>'Keyword Master'!M53</f>
        <v/>
      </c>
      <c r="E53" s="73">
        <f>IFERROR(LOOKUP(9.99E+307,J53:AI53),"")</f>
        <v/>
      </c>
      <c r="F53" s="63">
        <f>IFERROR(SMALL(J53:AI53,1),"")</f>
        <v/>
      </c>
      <c r="G53" s="74" t="n"/>
      <c r="H53" s="73">
        <f>IF(OR(E53="",G53=""),"",G53-E53)</f>
        <v/>
      </c>
      <c r="I53" s="63">
        <f>IF(E53="","Not tracked",IF(E53&lt;=3,"Top 3",IF(E53&lt;=10,"Page 1",IF(E53&lt;=20,"Page 2 - near win","Page 3+"))))</f>
        <v/>
      </c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</row>
    <row r="54" ht="15" customHeight="1" s="54">
      <c r="A54" s="63" t="n">
        <v>50</v>
      </c>
      <c r="B54" s="72">
        <f>'Keyword Master'!B54</f>
        <v/>
      </c>
      <c r="C54" s="72">
        <f>'Keyword Master'!C54</f>
        <v/>
      </c>
      <c r="D54" s="72">
        <f>'Keyword Master'!M54</f>
        <v/>
      </c>
      <c r="E54" s="73">
        <f>IFERROR(LOOKUP(9.99E+307,J54:AI54),"")</f>
        <v/>
      </c>
      <c r="F54" s="63">
        <f>IFERROR(SMALL(J54:AI54,1),"")</f>
        <v/>
      </c>
      <c r="G54" s="74" t="n"/>
      <c r="H54" s="73">
        <f>IF(OR(E54="",G54=""),"",G54-E54)</f>
        <v/>
      </c>
      <c r="I54" s="63">
        <f>IF(E54="","Not tracked",IF(E54&lt;=3,"Top 3",IF(E54&lt;=10,"Page 1",IF(E54&lt;=20,"Page 2 - near win","Page 3+"))))</f>
        <v/>
      </c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</row>
    <row r="55" ht="15" customHeight="1" s="54">
      <c r="A55" s="63" t="n">
        <v>51</v>
      </c>
      <c r="B55" s="72">
        <f>'Keyword Master'!B55</f>
        <v/>
      </c>
      <c r="C55" s="72">
        <f>'Keyword Master'!C55</f>
        <v/>
      </c>
      <c r="D55" s="72">
        <f>'Keyword Master'!M55</f>
        <v/>
      </c>
      <c r="E55" s="73">
        <f>IFERROR(LOOKUP(9.99E+307,J55:AI55),"")</f>
        <v/>
      </c>
      <c r="F55" s="63">
        <f>IFERROR(SMALL(J55:AI55,1),"")</f>
        <v/>
      </c>
      <c r="G55" s="74" t="n"/>
      <c r="H55" s="73">
        <f>IF(OR(E55="",G55=""),"",G55-E55)</f>
        <v/>
      </c>
      <c r="I55" s="63">
        <f>IF(E55="","Not tracked",IF(E55&lt;=3,"Top 3",IF(E55&lt;=10,"Page 1",IF(E55&lt;=20,"Page 2 - near win","Page 3+"))))</f>
        <v/>
      </c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</row>
    <row r="56" ht="15" customHeight="1" s="54">
      <c r="A56" s="63" t="n">
        <v>52</v>
      </c>
      <c r="B56" s="72">
        <f>'Keyword Master'!B56</f>
        <v/>
      </c>
      <c r="C56" s="72">
        <f>'Keyword Master'!C56</f>
        <v/>
      </c>
      <c r="D56" s="72">
        <f>'Keyword Master'!M56</f>
        <v/>
      </c>
      <c r="E56" s="73">
        <f>IFERROR(LOOKUP(9.99E+307,J56:AI56),"")</f>
        <v/>
      </c>
      <c r="F56" s="63">
        <f>IFERROR(SMALL(J56:AI56,1),"")</f>
        <v/>
      </c>
      <c r="G56" s="74" t="n"/>
      <c r="H56" s="73">
        <f>IF(OR(E56="",G56=""),"",G56-E56)</f>
        <v/>
      </c>
      <c r="I56" s="63">
        <f>IF(E56="","Not tracked",IF(E56&lt;=3,"Top 3",IF(E56&lt;=10,"Page 1",IF(E56&lt;=20,"Page 2 - near win","Page 3+"))))</f>
        <v/>
      </c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</row>
    <row r="57" ht="15" customHeight="1" s="54">
      <c r="A57" s="63" t="n">
        <v>53</v>
      </c>
      <c r="B57" s="72">
        <f>'Keyword Master'!B57</f>
        <v/>
      </c>
      <c r="C57" s="72">
        <f>'Keyword Master'!C57</f>
        <v/>
      </c>
      <c r="D57" s="72">
        <f>'Keyword Master'!M57</f>
        <v/>
      </c>
      <c r="E57" s="73">
        <f>IFERROR(LOOKUP(9.99E+307,J57:AI57),"")</f>
        <v/>
      </c>
      <c r="F57" s="63">
        <f>IFERROR(SMALL(J57:AI57,1),"")</f>
        <v/>
      </c>
      <c r="G57" s="74" t="n"/>
      <c r="H57" s="73">
        <f>IF(OR(E57="",G57=""),"",G57-E57)</f>
        <v/>
      </c>
      <c r="I57" s="63">
        <f>IF(E57="","Not tracked",IF(E57&lt;=3,"Top 3",IF(E57&lt;=10,"Page 1",IF(E57&lt;=20,"Page 2 - near win","Page 3+"))))</f>
        <v/>
      </c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</row>
    <row r="58" ht="15" customHeight="1" s="54">
      <c r="A58" s="63" t="n">
        <v>54</v>
      </c>
      <c r="B58" s="72">
        <f>'Keyword Master'!B58</f>
        <v/>
      </c>
      <c r="C58" s="72">
        <f>'Keyword Master'!C58</f>
        <v/>
      </c>
      <c r="D58" s="72">
        <f>'Keyword Master'!M58</f>
        <v/>
      </c>
      <c r="E58" s="73">
        <f>IFERROR(LOOKUP(9.99E+307,J58:AI58),"")</f>
        <v/>
      </c>
      <c r="F58" s="63">
        <f>IFERROR(SMALL(J58:AI58,1),"")</f>
        <v/>
      </c>
      <c r="G58" s="74" t="n"/>
      <c r="H58" s="73">
        <f>IF(OR(E58="",G58=""),"",G58-E58)</f>
        <v/>
      </c>
      <c r="I58" s="63">
        <f>IF(E58="","Not tracked",IF(E58&lt;=3,"Top 3",IF(E58&lt;=10,"Page 1",IF(E58&lt;=20,"Page 2 - near win","Page 3+"))))</f>
        <v/>
      </c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</row>
    <row r="59" ht="15" customHeight="1" s="54">
      <c r="A59" s="63" t="n">
        <v>55</v>
      </c>
      <c r="B59" s="72">
        <f>'Keyword Master'!B59</f>
        <v/>
      </c>
      <c r="C59" s="72">
        <f>'Keyword Master'!C59</f>
        <v/>
      </c>
      <c r="D59" s="72">
        <f>'Keyword Master'!M59</f>
        <v/>
      </c>
      <c r="E59" s="73">
        <f>IFERROR(LOOKUP(9.99E+307,J59:AI59),"")</f>
        <v/>
      </c>
      <c r="F59" s="63">
        <f>IFERROR(SMALL(J59:AI59,1),"")</f>
        <v/>
      </c>
      <c r="G59" s="74" t="n"/>
      <c r="H59" s="73">
        <f>IF(OR(E59="",G59=""),"",G59-E59)</f>
        <v/>
      </c>
      <c r="I59" s="63">
        <f>IF(E59="","Not tracked",IF(E59&lt;=3,"Top 3",IF(E59&lt;=10,"Page 1",IF(E59&lt;=20,"Page 2 - near win","Page 3+"))))</f>
        <v/>
      </c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</row>
    <row r="60" ht="15" customHeight="1" s="54">
      <c r="A60" s="63" t="n">
        <v>56</v>
      </c>
      <c r="B60" s="72">
        <f>'Keyword Master'!B60</f>
        <v/>
      </c>
      <c r="C60" s="72">
        <f>'Keyword Master'!C60</f>
        <v/>
      </c>
      <c r="D60" s="72">
        <f>'Keyword Master'!M60</f>
        <v/>
      </c>
      <c r="E60" s="73">
        <f>IFERROR(LOOKUP(9.99E+307,J60:AI60),"")</f>
        <v/>
      </c>
      <c r="F60" s="63">
        <f>IFERROR(SMALL(J60:AI60,1),"")</f>
        <v/>
      </c>
      <c r="G60" s="74" t="n"/>
      <c r="H60" s="73">
        <f>IF(OR(E60="",G60=""),"",G60-E60)</f>
        <v/>
      </c>
      <c r="I60" s="63">
        <f>IF(E60="","Not tracked",IF(E60&lt;=3,"Top 3",IF(E60&lt;=10,"Page 1",IF(E60&lt;=20,"Page 2 - near win","Page 3+"))))</f>
        <v/>
      </c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</row>
    <row r="61" ht="15" customHeight="1" s="54">
      <c r="A61" s="63" t="n">
        <v>57</v>
      </c>
      <c r="B61" s="72">
        <f>'Keyword Master'!B61</f>
        <v/>
      </c>
      <c r="C61" s="72">
        <f>'Keyword Master'!C61</f>
        <v/>
      </c>
      <c r="D61" s="72">
        <f>'Keyword Master'!M61</f>
        <v/>
      </c>
      <c r="E61" s="73">
        <f>IFERROR(LOOKUP(9.99E+307,J61:AI61),"")</f>
        <v/>
      </c>
      <c r="F61" s="63">
        <f>IFERROR(SMALL(J61:AI61,1),"")</f>
        <v/>
      </c>
      <c r="G61" s="74" t="n"/>
      <c r="H61" s="73">
        <f>IF(OR(E61="",G61=""),"",G61-E61)</f>
        <v/>
      </c>
      <c r="I61" s="63">
        <f>IF(E61="","Not tracked",IF(E61&lt;=3,"Top 3",IF(E61&lt;=10,"Page 1",IF(E61&lt;=20,"Page 2 - near win","Page 3+"))))</f>
        <v/>
      </c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</row>
    <row r="62" ht="15" customHeight="1" s="54">
      <c r="A62" s="63" t="n">
        <v>58</v>
      </c>
      <c r="B62" s="72">
        <f>'Keyword Master'!B62</f>
        <v/>
      </c>
      <c r="C62" s="72">
        <f>'Keyword Master'!C62</f>
        <v/>
      </c>
      <c r="D62" s="72">
        <f>'Keyword Master'!M62</f>
        <v/>
      </c>
      <c r="E62" s="73">
        <f>IFERROR(LOOKUP(9.99E+307,J62:AI62),"")</f>
        <v/>
      </c>
      <c r="F62" s="63">
        <f>IFERROR(SMALL(J62:AI62,1),"")</f>
        <v/>
      </c>
      <c r="G62" s="74" t="n"/>
      <c r="H62" s="73">
        <f>IF(OR(E62="",G62=""),"",G62-E62)</f>
        <v/>
      </c>
      <c r="I62" s="63">
        <f>IF(E62="","Not tracked",IF(E62&lt;=3,"Top 3",IF(E62&lt;=10,"Page 1",IF(E62&lt;=20,"Page 2 - near win","Page 3+"))))</f>
        <v/>
      </c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</row>
    <row r="63" ht="15" customHeight="1" s="54">
      <c r="A63" s="63" t="n">
        <v>59</v>
      </c>
      <c r="B63" s="72">
        <f>'Keyword Master'!B63</f>
        <v/>
      </c>
      <c r="C63" s="72">
        <f>'Keyword Master'!C63</f>
        <v/>
      </c>
      <c r="D63" s="72">
        <f>'Keyword Master'!M63</f>
        <v/>
      </c>
      <c r="E63" s="73">
        <f>IFERROR(LOOKUP(9.99E+307,J63:AI63),"")</f>
        <v/>
      </c>
      <c r="F63" s="63">
        <f>IFERROR(SMALL(J63:AI63,1),"")</f>
        <v/>
      </c>
      <c r="G63" s="74" t="n"/>
      <c r="H63" s="73">
        <f>IF(OR(E63="",G63=""),"",G63-E63)</f>
        <v/>
      </c>
      <c r="I63" s="63">
        <f>IF(E63="","Not tracked",IF(E63&lt;=3,"Top 3",IF(E63&lt;=10,"Page 1",IF(E63&lt;=20,"Page 2 - near win","Page 3+"))))</f>
        <v/>
      </c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</row>
    <row r="64" ht="15" customHeight="1" s="54">
      <c r="A64" s="63" t="n">
        <v>60</v>
      </c>
      <c r="B64" s="72">
        <f>'Keyword Master'!B64</f>
        <v/>
      </c>
      <c r="C64" s="72">
        <f>'Keyword Master'!C64</f>
        <v/>
      </c>
      <c r="D64" s="72">
        <f>'Keyword Master'!M64</f>
        <v/>
      </c>
      <c r="E64" s="73">
        <f>IFERROR(LOOKUP(9.99E+307,J64:AI64),"")</f>
        <v/>
      </c>
      <c r="F64" s="63">
        <f>IFERROR(SMALL(J64:AI64,1),"")</f>
        <v/>
      </c>
      <c r="G64" s="74" t="n"/>
      <c r="H64" s="73">
        <f>IF(OR(E64="",G64=""),"",G64-E64)</f>
        <v/>
      </c>
      <c r="I64" s="63">
        <f>IF(E64="","Not tracked",IF(E64&lt;=3,"Top 3",IF(E64&lt;=10,"Page 1",IF(E64&lt;=20,"Page 2 - near win","Page 3+"))))</f>
        <v/>
      </c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</row>
    <row r="65" ht="15" customHeight="1" s="54">
      <c r="A65" s="63" t="n">
        <v>61</v>
      </c>
      <c r="B65" s="72">
        <f>'Keyword Master'!B65</f>
        <v/>
      </c>
      <c r="C65" s="72">
        <f>'Keyword Master'!C65</f>
        <v/>
      </c>
      <c r="D65" s="72">
        <f>'Keyword Master'!M65</f>
        <v/>
      </c>
      <c r="E65" s="73">
        <f>IFERROR(LOOKUP(9.99E+307,J65:AI65),"")</f>
        <v/>
      </c>
      <c r="F65" s="63">
        <f>IFERROR(SMALL(J65:AI65,1),"")</f>
        <v/>
      </c>
      <c r="G65" s="74" t="n"/>
      <c r="H65" s="73">
        <f>IF(OR(E65="",G65=""),"",G65-E65)</f>
        <v/>
      </c>
      <c r="I65" s="63">
        <f>IF(E65="","Not tracked",IF(E65&lt;=3,"Top 3",IF(E65&lt;=10,"Page 1",IF(E65&lt;=20,"Page 2 - near win","Page 3+"))))</f>
        <v/>
      </c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</row>
    <row r="66" ht="15" customHeight="1" s="54">
      <c r="A66" s="63" t="n">
        <v>62</v>
      </c>
      <c r="B66" s="72">
        <f>'Keyword Master'!B66</f>
        <v/>
      </c>
      <c r="C66" s="72">
        <f>'Keyword Master'!C66</f>
        <v/>
      </c>
      <c r="D66" s="72">
        <f>'Keyword Master'!M66</f>
        <v/>
      </c>
      <c r="E66" s="73">
        <f>IFERROR(LOOKUP(9.99E+307,J66:AI66),"")</f>
        <v/>
      </c>
      <c r="F66" s="63">
        <f>IFERROR(SMALL(J66:AI66,1),"")</f>
        <v/>
      </c>
      <c r="G66" s="74" t="n"/>
      <c r="H66" s="73">
        <f>IF(OR(E66="",G66=""),"",G66-E66)</f>
        <v/>
      </c>
      <c r="I66" s="63">
        <f>IF(E66="","Not tracked",IF(E66&lt;=3,"Top 3",IF(E66&lt;=10,"Page 1",IF(E66&lt;=20,"Page 2 - near win","Page 3+"))))</f>
        <v/>
      </c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</row>
    <row r="67" ht="15" customHeight="1" s="54">
      <c r="A67" s="63" t="n">
        <v>63</v>
      </c>
      <c r="B67" s="72">
        <f>'Keyword Master'!B67</f>
        <v/>
      </c>
      <c r="C67" s="72">
        <f>'Keyword Master'!C67</f>
        <v/>
      </c>
      <c r="D67" s="72">
        <f>'Keyword Master'!M67</f>
        <v/>
      </c>
      <c r="E67" s="73">
        <f>IFERROR(LOOKUP(9.99E+307,J67:AI67),"")</f>
        <v/>
      </c>
      <c r="F67" s="63">
        <f>IFERROR(SMALL(J67:AI67,1),"")</f>
        <v/>
      </c>
      <c r="G67" s="74" t="n"/>
      <c r="H67" s="73">
        <f>IF(OR(E67="",G67=""),"",G67-E67)</f>
        <v/>
      </c>
      <c r="I67" s="63">
        <f>IF(E67="","Not tracked",IF(E67&lt;=3,"Top 3",IF(E67&lt;=10,"Page 1",IF(E67&lt;=20,"Page 2 - near win","Page 3+"))))</f>
        <v/>
      </c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</row>
    <row r="68" ht="15" customHeight="1" s="54">
      <c r="A68" s="63" t="n">
        <v>64</v>
      </c>
      <c r="B68" s="72">
        <f>'Keyword Master'!B68</f>
        <v/>
      </c>
      <c r="C68" s="72">
        <f>'Keyword Master'!C68</f>
        <v/>
      </c>
      <c r="D68" s="72">
        <f>'Keyword Master'!M68</f>
        <v/>
      </c>
      <c r="E68" s="73">
        <f>IFERROR(LOOKUP(9.99E+307,J68:AI68),"")</f>
        <v/>
      </c>
      <c r="F68" s="63">
        <f>IFERROR(SMALL(J68:AI68,1),"")</f>
        <v/>
      </c>
      <c r="G68" s="74" t="n"/>
      <c r="H68" s="73">
        <f>IF(OR(E68="",G68=""),"",G68-E68)</f>
        <v/>
      </c>
      <c r="I68" s="63">
        <f>IF(E68="","Not tracked",IF(E68&lt;=3,"Top 3",IF(E68&lt;=10,"Page 1",IF(E68&lt;=20,"Page 2 - near win","Page 3+"))))</f>
        <v/>
      </c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</row>
    <row r="69" ht="15" customHeight="1" s="54">
      <c r="A69" s="63" t="n">
        <v>65</v>
      </c>
      <c r="B69" s="72">
        <f>'Keyword Master'!B69</f>
        <v/>
      </c>
      <c r="C69" s="72">
        <f>'Keyword Master'!C69</f>
        <v/>
      </c>
      <c r="D69" s="72">
        <f>'Keyword Master'!M69</f>
        <v/>
      </c>
      <c r="E69" s="73">
        <f>IFERROR(LOOKUP(9.99E+307,J69:AI69),"")</f>
        <v/>
      </c>
      <c r="F69" s="63">
        <f>IFERROR(SMALL(J69:AI69,1),"")</f>
        <v/>
      </c>
      <c r="G69" s="74" t="n"/>
      <c r="H69" s="73">
        <f>IF(OR(E69="",G69=""),"",G69-E69)</f>
        <v/>
      </c>
      <c r="I69" s="63">
        <f>IF(E69="","Not tracked",IF(E69&lt;=3,"Top 3",IF(E69&lt;=10,"Page 1",IF(E69&lt;=20,"Page 2 - near win","Page 3+"))))</f>
        <v/>
      </c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</row>
    <row r="70" ht="15" customHeight="1" s="54">
      <c r="A70" s="63" t="n">
        <v>66</v>
      </c>
      <c r="B70" s="72">
        <f>'Keyword Master'!B70</f>
        <v/>
      </c>
      <c r="C70" s="72">
        <f>'Keyword Master'!C70</f>
        <v/>
      </c>
      <c r="D70" s="72">
        <f>'Keyword Master'!M70</f>
        <v/>
      </c>
      <c r="E70" s="73">
        <f>IFERROR(LOOKUP(9.99E+307,J70:AI70),"")</f>
        <v/>
      </c>
      <c r="F70" s="63">
        <f>IFERROR(SMALL(J70:AI70,1),"")</f>
        <v/>
      </c>
      <c r="G70" s="74" t="n"/>
      <c r="H70" s="73">
        <f>IF(OR(E70="",G70=""),"",G70-E70)</f>
        <v/>
      </c>
      <c r="I70" s="63">
        <f>IF(E70="","Not tracked",IF(E70&lt;=3,"Top 3",IF(E70&lt;=10,"Page 1",IF(E70&lt;=20,"Page 2 - near win","Page 3+"))))</f>
        <v/>
      </c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</row>
    <row r="71" ht="15" customHeight="1" s="54">
      <c r="A71" s="63" t="n">
        <v>67</v>
      </c>
      <c r="B71" s="72">
        <f>'Keyword Master'!B71</f>
        <v/>
      </c>
      <c r="C71" s="72">
        <f>'Keyword Master'!C71</f>
        <v/>
      </c>
      <c r="D71" s="72">
        <f>'Keyword Master'!M71</f>
        <v/>
      </c>
      <c r="E71" s="73">
        <f>IFERROR(LOOKUP(9.99E+307,J71:AI71),"")</f>
        <v/>
      </c>
      <c r="F71" s="63">
        <f>IFERROR(SMALL(J71:AI71,1),"")</f>
        <v/>
      </c>
      <c r="G71" s="74" t="n"/>
      <c r="H71" s="73">
        <f>IF(OR(E71="",G71=""),"",G71-E71)</f>
        <v/>
      </c>
      <c r="I71" s="63">
        <f>IF(E71="","Not tracked",IF(E71&lt;=3,"Top 3",IF(E71&lt;=10,"Page 1",IF(E71&lt;=20,"Page 2 - near win","Page 3+"))))</f>
        <v/>
      </c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</row>
    <row r="72" ht="15" customHeight="1" s="54">
      <c r="A72" s="63" t="n">
        <v>68</v>
      </c>
      <c r="B72" s="72">
        <f>'Keyword Master'!B72</f>
        <v/>
      </c>
      <c r="C72" s="72">
        <f>'Keyword Master'!C72</f>
        <v/>
      </c>
      <c r="D72" s="72">
        <f>'Keyword Master'!M72</f>
        <v/>
      </c>
      <c r="E72" s="73">
        <f>IFERROR(LOOKUP(9.99E+307,J72:AI72),"")</f>
        <v/>
      </c>
      <c r="F72" s="63">
        <f>IFERROR(SMALL(J72:AI72,1),"")</f>
        <v/>
      </c>
      <c r="G72" s="74" t="n"/>
      <c r="H72" s="73">
        <f>IF(OR(E72="",G72=""),"",G72-E72)</f>
        <v/>
      </c>
      <c r="I72" s="63">
        <f>IF(E72="","Not tracked",IF(E72&lt;=3,"Top 3",IF(E72&lt;=10,"Page 1",IF(E72&lt;=20,"Page 2 - near win","Page 3+"))))</f>
        <v/>
      </c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</row>
    <row r="73" ht="15" customHeight="1" s="54">
      <c r="A73" s="63" t="n">
        <v>69</v>
      </c>
      <c r="B73" s="72">
        <f>'Keyword Master'!B73</f>
        <v/>
      </c>
      <c r="C73" s="72">
        <f>'Keyword Master'!C73</f>
        <v/>
      </c>
      <c r="D73" s="72">
        <f>'Keyword Master'!M73</f>
        <v/>
      </c>
      <c r="E73" s="73">
        <f>IFERROR(LOOKUP(9.99E+307,J73:AI73),"")</f>
        <v/>
      </c>
      <c r="F73" s="63">
        <f>IFERROR(SMALL(J73:AI73,1),"")</f>
        <v/>
      </c>
      <c r="G73" s="74" t="n"/>
      <c r="H73" s="73">
        <f>IF(OR(E73="",G73=""),"",G73-E73)</f>
        <v/>
      </c>
      <c r="I73" s="63">
        <f>IF(E73="","Not tracked",IF(E73&lt;=3,"Top 3",IF(E73&lt;=10,"Page 1",IF(E73&lt;=20,"Page 2 - near win","Page 3+"))))</f>
        <v/>
      </c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</row>
    <row r="74" ht="15" customHeight="1" s="54">
      <c r="A74" s="63" t="n">
        <v>70</v>
      </c>
      <c r="B74" s="72">
        <f>'Keyword Master'!B74</f>
        <v/>
      </c>
      <c r="C74" s="72">
        <f>'Keyword Master'!C74</f>
        <v/>
      </c>
      <c r="D74" s="72">
        <f>'Keyword Master'!M74</f>
        <v/>
      </c>
      <c r="E74" s="73">
        <f>IFERROR(LOOKUP(9.99E+307,J74:AI74),"")</f>
        <v/>
      </c>
      <c r="F74" s="63">
        <f>IFERROR(SMALL(J74:AI74,1),"")</f>
        <v/>
      </c>
      <c r="G74" s="74" t="n"/>
      <c r="H74" s="73">
        <f>IF(OR(E74="",G74=""),"",G74-E74)</f>
        <v/>
      </c>
      <c r="I74" s="63">
        <f>IF(E74="","Not tracked",IF(E74&lt;=3,"Top 3",IF(E74&lt;=10,"Page 1",IF(E74&lt;=20,"Page 2 - near win","Page 3+"))))</f>
        <v/>
      </c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</row>
    <row r="75" ht="15" customHeight="1" s="54">
      <c r="A75" s="63" t="n">
        <v>71</v>
      </c>
      <c r="B75" s="72">
        <f>'Keyword Master'!B75</f>
        <v/>
      </c>
      <c r="C75" s="72">
        <f>'Keyword Master'!C75</f>
        <v/>
      </c>
      <c r="D75" s="72">
        <f>'Keyword Master'!M75</f>
        <v/>
      </c>
      <c r="E75" s="73">
        <f>IFERROR(LOOKUP(9.99E+307,J75:AI75),"")</f>
        <v/>
      </c>
      <c r="F75" s="63">
        <f>IFERROR(SMALL(J75:AI75,1),"")</f>
        <v/>
      </c>
      <c r="G75" s="74" t="n"/>
      <c r="H75" s="73">
        <f>IF(OR(E75="",G75=""),"",G75-E75)</f>
        <v/>
      </c>
      <c r="I75" s="63">
        <f>IF(E75="","Not tracked",IF(E75&lt;=3,"Top 3",IF(E75&lt;=10,"Page 1",IF(E75&lt;=20,"Page 2 - near win","Page 3+"))))</f>
        <v/>
      </c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</row>
    <row r="76" ht="15" customHeight="1" s="54">
      <c r="A76" s="63" t="n">
        <v>72</v>
      </c>
      <c r="B76" s="72">
        <f>'Keyword Master'!B76</f>
        <v/>
      </c>
      <c r="C76" s="72">
        <f>'Keyword Master'!C76</f>
        <v/>
      </c>
      <c r="D76" s="72">
        <f>'Keyword Master'!M76</f>
        <v/>
      </c>
      <c r="E76" s="73">
        <f>IFERROR(LOOKUP(9.99E+307,J76:AI76),"")</f>
        <v/>
      </c>
      <c r="F76" s="63">
        <f>IFERROR(SMALL(J76:AI76,1),"")</f>
        <v/>
      </c>
      <c r="G76" s="74" t="n"/>
      <c r="H76" s="73">
        <f>IF(OR(E76="",G76=""),"",G76-E76)</f>
        <v/>
      </c>
      <c r="I76" s="63">
        <f>IF(E76="","Not tracked",IF(E76&lt;=3,"Top 3",IF(E76&lt;=10,"Page 1",IF(E76&lt;=20,"Page 2 - near win","Page 3+"))))</f>
        <v/>
      </c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</row>
    <row r="77" ht="15" customHeight="1" s="54">
      <c r="A77" s="63" t="n">
        <v>73</v>
      </c>
      <c r="B77" s="72">
        <f>'Keyword Master'!B77</f>
        <v/>
      </c>
      <c r="C77" s="72">
        <f>'Keyword Master'!C77</f>
        <v/>
      </c>
      <c r="D77" s="72">
        <f>'Keyword Master'!M77</f>
        <v/>
      </c>
      <c r="E77" s="73">
        <f>IFERROR(LOOKUP(9.99E+307,J77:AI77),"")</f>
        <v/>
      </c>
      <c r="F77" s="63">
        <f>IFERROR(SMALL(J77:AI77,1),"")</f>
        <v/>
      </c>
      <c r="G77" s="74" t="n"/>
      <c r="H77" s="73">
        <f>IF(OR(E77="",G77=""),"",G77-E77)</f>
        <v/>
      </c>
      <c r="I77" s="63">
        <f>IF(E77="","Not tracked",IF(E77&lt;=3,"Top 3",IF(E77&lt;=10,"Page 1",IF(E77&lt;=20,"Page 2 - near win","Page 3+"))))</f>
        <v/>
      </c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</row>
    <row r="78" ht="15" customHeight="1" s="54">
      <c r="A78" s="63" t="n">
        <v>74</v>
      </c>
      <c r="B78" s="72">
        <f>'Keyword Master'!B78</f>
        <v/>
      </c>
      <c r="C78" s="72">
        <f>'Keyword Master'!C78</f>
        <v/>
      </c>
      <c r="D78" s="72">
        <f>'Keyword Master'!M78</f>
        <v/>
      </c>
      <c r="E78" s="73">
        <f>IFERROR(LOOKUP(9.99E+307,J78:AI78),"")</f>
        <v/>
      </c>
      <c r="F78" s="63">
        <f>IFERROR(SMALL(J78:AI78,1),"")</f>
        <v/>
      </c>
      <c r="G78" s="74" t="n"/>
      <c r="H78" s="73">
        <f>IF(OR(E78="",G78=""),"",G78-E78)</f>
        <v/>
      </c>
      <c r="I78" s="63">
        <f>IF(E78="","Not tracked",IF(E78&lt;=3,"Top 3",IF(E78&lt;=10,"Page 1",IF(E78&lt;=20,"Page 2 - near win","Page 3+"))))</f>
        <v/>
      </c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</row>
    <row r="79" ht="15" customHeight="1" s="54">
      <c r="A79" s="63" t="n">
        <v>75</v>
      </c>
      <c r="B79" s="72">
        <f>'Keyword Master'!B79</f>
        <v/>
      </c>
      <c r="C79" s="72">
        <f>'Keyword Master'!C79</f>
        <v/>
      </c>
      <c r="D79" s="72">
        <f>'Keyword Master'!M79</f>
        <v/>
      </c>
      <c r="E79" s="73">
        <f>IFERROR(LOOKUP(9.99E+307,J79:AI79),"")</f>
        <v/>
      </c>
      <c r="F79" s="63">
        <f>IFERROR(SMALL(J79:AI79,1),"")</f>
        <v/>
      </c>
      <c r="G79" s="74" t="n"/>
      <c r="H79" s="73">
        <f>IF(OR(E79="",G79=""),"",G79-E79)</f>
        <v/>
      </c>
      <c r="I79" s="63">
        <f>IF(E79="","Not tracked",IF(E79&lt;=3,"Top 3",IF(E79&lt;=10,"Page 1",IF(E79&lt;=20,"Page 2 - near win","Page 3+"))))</f>
        <v/>
      </c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</row>
    <row r="80" ht="15" customHeight="1" s="54">
      <c r="A80" s="63" t="n">
        <v>76</v>
      </c>
      <c r="B80" s="72">
        <f>'Keyword Master'!B80</f>
        <v/>
      </c>
      <c r="C80" s="72">
        <f>'Keyword Master'!C80</f>
        <v/>
      </c>
      <c r="D80" s="72">
        <f>'Keyword Master'!M80</f>
        <v/>
      </c>
      <c r="E80" s="73">
        <f>IFERROR(LOOKUP(9.99E+307,J80:AI80),"")</f>
        <v/>
      </c>
      <c r="F80" s="63">
        <f>IFERROR(SMALL(J80:AI80,1),"")</f>
        <v/>
      </c>
      <c r="G80" s="74" t="n"/>
      <c r="H80" s="73">
        <f>IF(OR(E80="",G80=""),"",G80-E80)</f>
        <v/>
      </c>
      <c r="I80" s="63">
        <f>IF(E80="","Not tracked",IF(E80&lt;=3,"Top 3",IF(E80&lt;=10,"Page 1",IF(E80&lt;=20,"Page 2 - near win","Page 3+"))))</f>
        <v/>
      </c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</row>
    <row r="81" ht="15" customHeight="1" s="54">
      <c r="A81" s="63" t="n">
        <v>77</v>
      </c>
      <c r="B81" s="72">
        <f>'Keyword Master'!B81</f>
        <v/>
      </c>
      <c r="C81" s="72">
        <f>'Keyword Master'!C81</f>
        <v/>
      </c>
      <c r="D81" s="72">
        <f>'Keyword Master'!M81</f>
        <v/>
      </c>
      <c r="E81" s="73">
        <f>IFERROR(LOOKUP(9.99E+307,J81:AI81),"")</f>
        <v/>
      </c>
      <c r="F81" s="63">
        <f>IFERROR(SMALL(J81:AI81,1),"")</f>
        <v/>
      </c>
      <c r="G81" s="74" t="n"/>
      <c r="H81" s="73">
        <f>IF(OR(E81="",G81=""),"",G81-E81)</f>
        <v/>
      </c>
      <c r="I81" s="63">
        <f>IF(E81="","Not tracked",IF(E81&lt;=3,"Top 3",IF(E81&lt;=10,"Page 1",IF(E81&lt;=20,"Page 2 - near win","Page 3+"))))</f>
        <v/>
      </c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</row>
    <row r="82" ht="15" customHeight="1" s="54">
      <c r="A82" s="63" t="n">
        <v>78</v>
      </c>
      <c r="B82" s="72">
        <f>'Keyword Master'!B82</f>
        <v/>
      </c>
      <c r="C82" s="72">
        <f>'Keyword Master'!C82</f>
        <v/>
      </c>
      <c r="D82" s="72">
        <f>'Keyword Master'!M82</f>
        <v/>
      </c>
      <c r="E82" s="73">
        <f>IFERROR(LOOKUP(9.99E+307,J82:AI82),"")</f>
        <v/>
      </c>
      <c r="F82" s="63">
        <f>IFERROR(SMALL(J82:AI82,1),"")</f>
        <v/>
      </c>
      <c r="G82" s="74" t="n"/>
      <c r="H82" s="73">
        <f>IF(OR(E82="",G82=""),"",G82-E82)</f>
        <v/>
      </c>
      <c r="I82" s="63">
        <f>IF(E82="","Not tracked",IF(E82&lt;=3,"Top 3",IF(E82&lt;=10,"Page 1",IF(E82&lt;=20,"Page 2 - near win","Page 3+"))))</f>
        <v/>
      </c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</row>
    <row r="83" ht="15" customHeight="1" s="54">
      <c r="A83" s="63" t="n">
        <v>79</v>
      </c>
      <c r="B83" s="72">
        <f>'Keyword Master'!B83</f>
        <v/>
      </c>
      <c r="C83" s="72">
        <f>'Keyword Master'!C83</f>
        <v/>
      </c>
      <c r="D83" s="72">
        <f>'Keyword Master'!M83</f>
        <v/>
      </c>
      <c r="E83" s="73">
        <f>IFERROR(LOOKUP(9.99E+307,J83:AI83),"")</f>
        <v/>
      </c>
      <c r="F83" s="63">
        <f>IFERROR(SMALL(J83:AI83,1),"")</f>
        <v/>
      </c>
      <c r="G83" s="74" t="n"/>
      <c r="H83" s="73">
        <f>IF(OR(E83="",G83=""),"",G83-E83)</f>
        <v/>
      </c>
      <c r="I83" s="63">
        <f>IF(E83="","Not tracked",IF(E83&lt;=3,"Top 3",IF(E83&lt;=10,"Page 1",IF(E83&lt;=20,"Page 2 - near win","Page 3+"))))</f>
        <v/>
      </c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</row>
    <row r="84" ht="15" customHeight="1" s="54">
      <c r="A84" s="63" t="n">
        <v>80</v>
      </c>
      <c r="B84" s="72">
        <f>'Keyword Master'!B84</f>
        <v/>
      </c>
      <c r="C84" s="72">
        <f>'Keyword Master'!C84</f>
        <v/>
      </c>
      <c r="D84" s="72">
        <f>'Keyword Master'!M84</f>
        <v/>
      </c>
      <c r="E84" s="73">
        <f>IFERROR(LOOKUP(9.99E+307,J84:AI84),"")</f>
        <v/>
      </c>
      <c r="F84" s="63">
        <f>IFERROR(SMALL(J84:AI84,1),"")</f>
        <v/>
      </c>
      <c r="G84" s="74" t="n"/>
      <c r="H84" s="73">
        <f>IF(OR(E84="",G84=""),"",G84-E84)</f>
        <v/>
      </c>
      <c r="I84" s="63">
        <f>IF(E84="","Not tracked",IF(E84&lt;=3,"Top 3",IF(E84&lt;=10,"Page 1",IF(E84&lt;=20,"Page 2 - near win","Page 3+"))))</f>
        <v/>
      </c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</row>
    <row r="85" ht="15" customHeight="1" s="54">
      <c r="A85" s="63" t="n">
        <v>81</v>
      </c>
      <c r="B85" s="72">
        <f>'Keyword Master'!B85</f>
        <v/>
      </c>
      <c r="C85" s="72">
        <f>'Keyword Master'!C85</f>
        <v/>
      </c>
      <c r="D85" s="72">
        <f>'Keyword Master'!M85</f>
        <v/>
      </c>
      <c r="E85" s="73">
        <f>IFERROR(LOOKUP(9.99E+307,J85:AI85),"")</f>
        <v/>
      </c>
      <c r="F85" s="63">
        <f>IFERROR(SMALL(J85:AI85,1),"")</f>
        <v/>
      </c>
      <c r="G85" s="74" t="n"/>
      <c r="H85" s="73">
        <f>IF(OR(E85="",G85=""),"",G85-E85)</f>
        <v/>
      </c>
      <c r="I85" s="63">
        <f>IF(E85="","Not tracked",IF(E85&lt;=3,"Top 3",IF(E85&lt;=10,"Page 1",IF(E85&lt;=20,"Page 2 - near win","Page 3+"))))</f>
        <v/>
      </c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</row>
    <row r="86" ht="15" customHeight="1" s="54">
      <c r="A86" s="63" t="n">
        <v>82</v>
      </c>
      <c r="B86" s="72">
        <f>'Keyword Master'!B86</f>
        <v/>
      </c>
      <c r="C86" s="72">
        <f>'Keyword Master'!C86</f>
        <v/>
      </c>
      <c r="D86" s="72">
        <f>'Keyword Master'!M86</f>
        <v/>
      </c>
      <c r="E86" s="73">
        <f>IFERROR(LOOKUP(9.99E+307,J86:AI86),"")</f>
        <v/>
      </c>
      <c r="F86" s="63">
        <f>IFERROR(SMALL(J86:AI86,1),"")</f>
        <v/>
      </c>
      <c r="G86" s="74" t="n"/>
      <c r="H86" s="73">
        <f>IF(OR(E86="",G86=""),"",G86-E86)</f>
        <v/>
      </c>
      <c r="I86" s="63">
        <f>IF(E86="","Not tracked",IF(E86&lt;=3,"Top 3",IF(E86&lt;=10,"Page 1",IF(E86&lt;=20,"Page 2 - near win","Page 3+"))))</f>
        <v/>
      </c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</row>
    <row r="87" ht="15" customHeight="1" s="54">
      <c r="A87" s="63" t="n">
        <v>83</v>
      </c>
      <c r="B87" s="72">
        <f>'Keyword Master'!B87</f>
        <v/>
      </c>
      <c r="C87" s="72">
        <f>'Keyword Master'!C87</f>
        <v/>
      </c>
      <c r="D87" s="72">
        <f>'Keyword Master'!M87</f>
        <v/>
      </c>
      <c r="E87" s="73">
        <f>IFERROR(LOOKUP(9.99E+307,J87:AI87),"")</f>
        <v/>
      </c>
      <c r="F87" s="63">
        <f>IFERROR(SMALL(J87:AI87,1),"")</f>
        <v/>
      </c>
      <c r="G87" s="74" t="n"/>
      <c r="H87" s="73">
        <f>IF(OR(E87="",G87=""),"",G87-E87)</f>
        <v/>
      </c>
      <c r="I87" s="63">
        <f>IF(E87="","Not tracked",IF(E87&lt;=3,"Top 3",IF(E87&lt;=10,"Page 1",IF(E87&lt;=20,"Page 2 - near win","Page 3+"))))</f>
        <v/>
      </c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</row>
    <row r="88" ht="15" customHeight="1" s="54">
      <c r="A88" s="63" t="n">
        <v>84</v>
      </c>
      <c r="B88" s="72">
        <f>'Keyword Master'!B88</f>
        <v/>
      </c>
      <c r="C88" s="72">
        <f>'Keyword Master'!C88</f>
        <v/>
      </c>
      <c r="D88" s="72">
        <f>'Keyword Master'!M88</f>
        <v/>
      </c>
      <c r="E88" s="73">
        <f>IFERROR(LOOKUP(9.99E+307,J88:AI88),"")</f>
        <v/>
      </c>
      <c r="F88" s="63">
        <f>IFERROR(SMALL(J88:AI88,1),"")</f>
        <v/>
      </c>
      <c r="G88" s="74" t="n"/>
      <c r="H88" s="73">
        <f>IF(OR(E88="",G88=""),"",G88-E88)</f>
        <v/>
      </c>
      <c r="I88" s="63">
        <f>IF(E88="","Not tracked",IF(E88&lt;=3,"Top 3",IF(E88&lt;=10,"Page 1",IF(E88&lt;=20,"Page 2 - near win","Page 3+"))))</f>
        <v/>
      </c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</row>
    <row r="89" ht="15" customHeight="1" s="54">
      <c r="A89" s="63" t="n">
        <v>85</v>
      </c>
      <c r="B89" s="72">
        <f>'Keyword Master'!B89</f>
        <v/>
      </c>
      <c r="C89" s="72">
        <f>'Keyword Master'!C89</f>
        <v/>
      </c>
      <c r="D89" s="72">
        <f>'Keyword Master'!M89</f>
        <v/>
      </c>
      <c r="E89" s="73">
        <f>IFERROR(LOOKUP(9.99E+307,J89:AI89),"")</f>
        <v/>
      </c>
      <c r="F89" s="63">
        <f>IFERROR(SMALL(J89:AI89,1),"")</f>
        <v/>
      </c>
      <c r="G89" s="74" t="n"/>
      <c r="H89" s="73">
        <f>IF(OR(E89="",G89=""),"",G89-E89)</f>
        <v/>
      </c>
      <c r="I89" s="63">
        <f>IF(E89="","Not tracked",IF(E89&lt;=3,"Top 3",IF(E89&lt;=10,"Page 1",IF(E89&lt;=20,"Page 2 - near win","Page 3+"))))</f>
        <v/>
      </c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</row>
    <row r="90" ht="15" customHeight="1" s="54">
      <c r="A90" s="63" t="n">
        <v>86</v>
      </c>
      <c r="B90" s="72">
        <f>'Keyword Master'!B90</f>
        <v/>
      </c>
      <c r="C90" s="72">
        <f>'Keyword Master'!C90</f>
        <v/>
      </c>
      <c r="D90" s="72">
        <f>'Keyword Master'!M90</f>
        <v/>
      </c>
      <c r="E90" s="73">
        <f>IFERROR(LOOKUP(9.99E+307,J90:AI90),"")</f>
        <v/>
      </c>
      <c r="F90" s="63">
        <f>IFERROR(SMALL(J90:AI90,1),"")</f>
        <v/>
      </c>
      <c r="G90" s="74" t="n"/>
      <c r="H90" s="73">
        <f>IF(OR(E90="",G90=""),"",G90-E90)</f>
        <v/>
      </c>
      <c r="I90" s="63">
        <f>IF(E90="","Not tracked",IF(E90&lt;=3,"Top 3",IF(E90&lt;=10,"Page 1",IF(E90&lt;=20,"Page 2 - near win","Page 3+"))))</f>
        <v/>
      </c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</row>
    <row r="91" ht="15" customHeight="1" s="54">
      <c r="A91" s="63" t="n">
        <v>87</v>
      </c>
      <c r="B91" s="72">
        <f>'Keyword Master'!B91</f>
        <v/>
      </c>
      <c r="C91" s="72">
        <f>'Keyword Master'!C91</f>
        <v/>
      </c>
      <c r="D91" s="72">
        <f>'Keyword Master'!M91</f>
        <v/>
      </c>
      <c r="E91" s="73">
        <f>IFERROR(LOOKUP(9.99E+307,J91:AI91),"")</f>
        <v/>
      </c>
      <c r="F91" s="63">
        <f>IFERROR(SMALL(J91:AI91,1),"")</f>
        <v/>
      </c>
      <c r="G91" s="74" t="n"/>
      <c r="H91" s="73">
        <f>IF(OR(E91="",G91=""),"",G91-E91)</f>
        <v/>
      </c>
      <c r="I91" s="63">
        <f>IF(E91="","Not tracked",IF(E91&lt;=3,"Top 3",IF(E91&lt;=10,"Page 1",IF(E91&lt;=20,"Page 2 - near win","Page 3+"))))</f>
        <v/>
      </c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</row>
    <row r="92" ht="15" customHeight="1" s="54">
      <c r="A92" s="63" t="n">
        <v>88</v>
      </c>
      <c r="B92" s="72">
        <f>'Keyword Master'!B92</f>
        <v/>
      </c>
      <c r="C92" s="72">
        <f>'Keyword Master'!C92</f>
        <v/>
      </c>
      <c r="D92" s="72">
        <f>'Keyword Master'!M92</f>
        <v/>
      </c>
      <c r="E92" s="73">
        <f>IFERROR(LOOKUP(9.99E+307,J92:AI92),"")</f>
        <v/>
      </c>
      <c r="F92" s="63">
        <f>IFERROR(SMALL(J92:AI92,1),"")</f>
        <v/>
      </c>
      <c r="G92" s="74" t="n"/>
      <c r="H92" s="73">
        <f>IF(OR(E92="",G92=""),"",G92-E92)</f>
        <v/>
      </c>
      <c r="I92" s="63">
        <f>IF(E92="","Not tracked",IF(E92&lt;=3,"Top 3",IF(E92&lt;=10,"Page 1",IF(E92&lt;=20,"Page 2 - near win","Page 3+"))))</f>
        <v/>
      </c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</row>
    <row r="93" ht="15" customHeight="1" s="54">
      <c r="A93" s="63" t="n">
        <v>89</v>
      </c>
      <c r="B93" s="72">
        <f>'Keyword Master'!B93</f>
        <v/>
      </c>
      <c r="C93" s="72">
        <f>'Keyword Master'!C93</f>
        <v/>
      </c>
      <c r="D93" s="72">
        <f>'Keyword Master'!M93</f>
        <v/>
      </c>
      <c r="E93" s="73">
        <f>IFERROR(LOOKUP(9.99E+307,J93:AI93),"")</f>
        <v/>
      </c>
      <c r="F93" s="63">
        <f>IFERROR(SMALL(J93:AI93,1),"")</f>
        <v/>
      </c>
      <c r="G93" s="74" t="n"/>
      <c r="H93" s="73">
        <f>IF(OR(E93="",G93=""),"",G93-E93)</f>
        <v/>
      </c>
      <c r="I93" s="63">
        <f>IF(E93="","Not tracked",IF(E93&lt;=3,"Top 3",IF(E93&lt;=10,"Page 1",IF(E93&lt;=20,"Page 2 - near win","Page 3+"))))</f>
        <v/>
      </c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</row>
    <row r="94" ht="15" customHeight="1" s="54">
      <c r="A94" s="63" t="n">
        <v>90</v>
      </c>
      <c r="B94" s="72">
        <f>'Keyword Master'!B94</f>
        <v/>
      </c>
      <c r="C94" s="72">
        <f>'Keyword Master'!C94</f>
        <v/>
      </c>
      <c r="D94" s="72">
        <f>'Keyword Master'!M94</f>
        <v/>
      </c>
      <c r="E94" s="73">
        <f>IFERROR(LOOKUP(9.99E+307,J94:AI94),"")</f>
        <v/>
      </c>
      <c r="F94" s="63">
        <f>IFERROR(SMALL(J94:AI94,1),"")</f>
        <v/>
      </c>
      <c r="G94" s="74" t="n"/>
      <c r="H94" s="73">
        <f>IF(OR(E94="",G94=""),"",G94-E94)</f>
        <v/>
      </c>
      <c r="I94" s="63">
        <f>IF(E94="","Not tracked",IF(E94&lt;=3,"Top 3",IF(E94&lt;=10,"Page 1",IF(E94&lt;=20,"Page 2 - near win","Page 3+"))))</f>
        <v/>
      </c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</row>
    <row r="95" ht="15" customHeight="1" s="54">
      <c r="A95" s="63" t="n">
        <v>91</v>
      </c>
      <c r="B95" s="72">
        <f>'Keyword Master'!B95</f>
        <v/>
      </c>
      <c r="C95" s="72">
        <f>'Keyword Master'!C95</f>
        <v/>
      </c>
      <c r="D95" s="72">
        <f>'Keyword Master'!M95</f>
        <v/>
      </c>
      <c r="E95" s="73">
        <f>IFERROR(LOOKUP(9.99E+307,J95:AI95),"")</f>
        <v/>
      </c>
      <c r="F95" s="63">
        <f>IFERROR(SMALL(J95:AI95,1),"")</f>
        <v/>
      </c>
      <c r="G95" s="74" t="n"/>
      <c r="H95" s="73">
        <f>IF(OR(E95="",G95=""),"",G95-E95)</f>
        <v/>
      </c>
      <c r="I95" s="63">
        <f>IF(E95="","Not tracked",IF(E95&lt;=3,"Top 3",IF(E95&lt;=10,"Page 1",IF(E95&lt;=20,"Page 2 - near win","Page 3+"))))</f>
        <v/>
      </c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</row>
    <row r="96" ht="15" customHeight="1" s="54">
      <c r="A96" s="63" t="n">
        <v>92</v>
      </c>
      <c r="B96" s="72">
        <f>'Keyword Master'!B96</f>
        <v/>
      </c>
      <c r="C96" s="72">
        <f>'Keyword Master'!C96</f>
        <v/>
      </c>
      <c r="D96" s="72">
        <f>'Keyword Master'!M96</f>
        <v/>
      </c>
      <c r="E96" s="73">
        <f>IFERROR(LOOKUP(9.99E+307,J96:AI96),"")</f>
        <v/>
      </c>
      <c r="F96" s="63">
        <f>IFERROR(SMALL(J96:AI96,1),"")</f>
        <v/>
      </c>
      <c r="G96" s="74" t="n"/>
      <c r="H96" s="73">
        <f>IF(OR(E96="",G96=""),"",G96-E96)</f>
        <v/>
      </c>
      <c r="I96" s="63">
        <f>IF(E96="","Not tracked",IF(E96&lt;=3,"Top 3",IF(E96&lt;=10,"Page 1",IF(E96&lt;=20,"Page 2 - near win","Page 3+"))))</f>
        <v/>
      </c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</row>
    <row r="97" ht="15" customHeight="1" s="54">
      <c r="A97" s="63" t="n">
        <v>93</v>
      </c>
      <c r="B97" s="72">
        <f>'Keyword Master'!B97</f>
        <v/>
      </c>
      <c r="C97" s="72">
        <f>'Keyword Master'!C97</f>
        <v/>
      </c>
      <c r="D97" s="72">
        <f>'Keyword Master'!M97</f>
        <v/>
      </c>
      <c r="E97" s="73">
        <f>IFERROR(LOOKUP(9.99E+307,J97:AI97),"")</f>
        <v/>
      </c>
      <c r="F97" s="63">
        <f>IFERROR(SMALL(J97:AI97,1),"")</f>
        <v/>
      </c>
      <c r="G97" s="74" t="n"/>
      <c r="H97" s="73">
        <f>IF(OR(E97="",G97=""),"",G97-E97)</f>
        <v/>
      </c>
      <c r="I97" s="63">
        <f>IF(E97="","Not tracked",IF(E97&lt;=3,"Top 3",IF(E97&lt;=10,"Page 1",IF(E97&lt;=20,"Page 2 - near win","Page 3+"))))</f>
        <v/>
      </c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</row>
    <row r="98" ht="15" customHeight="1" s="54">
      <c r="A98" s="63" t="n">
        <v>94</v>
      </c>
      <c r="B98" s="72">
        <f>'Keyword Master'!B98</f>
        <v/>
      </c>
      <c r="C98" s="72">
        <f>'Keyword Master'!C98</f>
        <v/>
      </c>
      <c r="D98" s="72">
        <f>'Keyword Master'!M98</f>
        <v/>
      </c>
      <c r="E98" s="73">
        <f>IFERROR(LOOKUP(9.99E+307,J98:AI98),"")</f>
        <v/>
      </c>
      <c r="F98" s="63">
        <f>IFERROR(SMALL(J98:AI98,1),"")</f>
        <v/>
      </c>
      <c r="G98" s="74" t="n"/>
      <c r="H98" s="73">
        <f>IF(OR(E98="",G98=""),"",G98-E98)</f>
        <v/>
      </c>
      <c r="I98" s="63">
        <f>IF(E98="","Not tracked",IF(E98&lt;=3,"Top 3",IF(E98&lt;=10,"Page 1",IF(E98&lt;=20,"Page 2 - near win","Page 3+"))))</f>
        <v/>
      </c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</row>
    <row r="99" ht="15" customHeight="1" s="54">
      <c r="A99" s="63" t="n">
        <v>95</v>
      </c>
      <c r="B99" s="72">
        <f>'Keyword Master'!B99</f>
        <v/>
      </c>
      <c r="C99" s="72">
        <f>'Keyword Master'!C99</f>
        <v/>
      </c>
      <c r="D99" s="72">
        <f>'Keyword Master'!M99</f>
        <v/>
      </c>
      <c r="E99" s="73">
        <f>IFERROR(LOOKUP(9.99E+307,J99:AI99),"")</f>
        <v/>
      </c>
      <c r="F99" s="63">
        <f>IFERROR(SMALL(J99:AI99,1),"")</f>
        <v/>
      </c>
      <c r="G99" s="74" t="n"/>
      <c r="H99" s="73">
        <f>IF(OR(E99="",G99=""),"",G99-E99)</f>
        <v/>
      </c>
      <c r="I99" s="63">
        <f>IF(E99="","Not tracked",IF(E99&lt;=3,"Top 3",IF(E99&lt;=10,"Page 1",IF(E99&lt;=20,"Page 2 - near win","Page 3+"))))</f>
        <v/>
      </c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</row>
    <row r="100" ht="15" customHeight="1" s="54">
      <c r="A100" s="63" t="n">
        <v>96</v>
      </c>
      <c r="B100" s="72">
        <f>'Keyword Master'!B100</f>
        <v/>
      </c>
      <c r="C100" s="72">
        <f>'Keyword Master'!C100</f>
        <v/>
      </c>
      <c r="D100" s="72">
        <f>'Keyword Master'!M100</f>
        <v/>
      </c>
      <c r="E100" s="73">
        <f>IFERROR(LOOKUP(9.99E+307,J100:AI100),"")</f>
        <v/>
      </c>
      <c r="F100" s="63">
        <f>IFERROR(SMALL(J100:AI100,1),"")</f>
        <v/>
      </c>
      <c r="G100" s="74" t="n"/>
      <c r="H100" s="73">
        <f>IF(OR(E100="",G100=""),"",G100-E100)</f>
        <v/>
      </c>
      <c r="I100" s="63">
        <f>IF(E100="","Not tracked",IF(E100&lt;=3,"Top 3",IF(E100&lt;=10,"Page 1",IF(E100&lt;=20,"Page 2 - near win","Page 3+"))))</f>
        <v/>
      </c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</row>
    <row r="101" ht="15" customHeight="1" s="54">
      <c r="A101" s="63" t="n">
        <v>97</v>
      </c>
      <c r="B101" s="72">
        <f>'Keyword Master'!B101</f>
        <v/>
      </c>
      <c r="C101" s="72">
        <f>'Keyword Master'!C101</f>
        <v/>
      </c>
      <c r="D101" s="72">
        <f>'Keyword Master'!M101</f>
        <v/>
      </c>
      <c r="E101" s="73">
        <f>IFERROR(LOOKUP(9.99E+307,J101:AI101),"")</f>
        <v/>
      </c>
      <c r="F101" s="63">
        <f>IFERROR(SMALL(J101:AI101,1),"")</f>
        <v/>
      </c>
      <c r="G101" s="74" t="n"/>
      <c r="H101" s="73">
        <f>IF(OR(E101="",G101=""),"",G101-E101)</f>
        <v/>
      </c>
      <c r="I101" s="63">
        <f>IF(E101="","Not tracked",IF(E101&lt;=3,"Top 3",IF(E101&lt;=10,"Page 1",IF(E101&lt;=20,"Page 2 - near win","Page 3+"))))</f>
        <v/>
      </c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</row>
    <row r="102" ht="15" customHeight="1" s="54">
      <c r="A102" s="63" t="n">
        <v>98</v>
      </c>
      <c r="B102" s="72">
        <f>'Keyword Master'!B102</f>
        <v/>
      </c>
      <c r="C102" s="72">
        <f>'Keyword Master'!C102</f>
        <v/>
      </c>
      <c r="D102" s="72">
        <f>'Keyword Master'!M102</f>
        <v/>
      </c>
      <c r="E102" s="73">
        <f>IFERROR(LOOKUP(9.99E+307,J102:AI102),"")</f>
        <v/>
      </c>
      <c r="F102" s="63">
        <f>IFERROR(SMALL(J102:AI102,1),"")</f>
        <v/>
      </c>
      <c r="G102" s="74" t="n"/>
      <c r="H102" s="73">
        <f>IF(OR(E102="",G102=""),"",G102-E102)</f>
        <v/>
      </c>
      <c r="I102" s="63">
        <f>IF(E102="","Not tracked",IF(E102&lt;=3,"Top 3",IF(E102&lt;=10,"Page 1",IF(E102&lt;=20,"Page 2 - near win","Page 3+"))))</f>
        <v/>
      </c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</row>
    <row r="103" ht="15" customHeight="1" s="54">
      <c r="A103" s="63" t="n">
        <v>99</v>
      </c>
      <c r="B103" s="72">
        <f>'Keyword Master'!B103</f>
        <v/>
      </c>
      <c r="C103" s="72">
        <f>'Keyword Master'!C103</f>
        <v/>
      </c>
      <c r="D103" s="72">
        <f>'Keyword Master'!M103</f>
        <v/>
      </c>
      <c r="E103" s="73">
        <f>IFERROR(LOOKUP(9.99E+307,J103:AI103),"")</f>
        <v/>
      </c>
      <c r="F103" s="63">
        <f>IFERROR(SMALL(J103:AI103,1),"")</f>
        <v/>
      </c>
      <c r="G103" s="74" t="n"/>
      <c r="H103" s="73">
        <f>IF(OR(E103="",G103=""),"",G103-E103)</f>
        <v/>
      </c>
      <c r="I103" s="63">
        <f>IF(E103="","Not tracked",IF(E103&lt;=3,"Top 3",IF(E103&lt;=10,"Page 1",IF(E103&lt;=20,"Page 2 - near win","Page 3+"))))</f>
        <v/>
      </c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</row>
    <row r="104" ht="15" customHeight="1" s="54">
      <c r="A104" s="63" t="n">
        <v>100</v>
      </c>
      <c r="B104" s="72">
        <f>'Keyword Master'!B104</f>
        <v/>
      </c>
      <c r="C104" s="72">
        <f>'Keyword Master'!C104</f>
        <v/>
      </c>
      <c r="D104" s="72">
        <f>'Keyword Master'!M104</f>
        <v/>
      </c>
      <c r="E104" s="73">
        <f>IFERROR(LOOKUP(9.99E+307,J104:AI104),"")</f>
        <v/>
      </c>
      <c r="F104" s="63">
        <f>IFERROR(SMALL(J104:AI104,1),"")</f>
        <v/>
      </c>
      <c r="G104" s="74" t="n"/>
      <c r="H104" s="73">
        <f>IF(OR(E104="",G104=""),"",G104-E104)</f>
        <v/>
      </c>
      <c r="I104" s="63">
        <f>IF(E104="","Not tracked",IF(E104&lt;=3,"Top 3",IF(E104&lt;=10,"Page 1",IF(E104&lt;=20,"Page 2 - near win","Page 3+"))))</f>
        <v/>
      </c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</row>
    <row r="105" ht="15" customHeight="1" s="54">
      <c r="A105" s="63" t="n">
        <v>101</v>
      </c>
      <c r="B105" s="72">
        <f>'Keyword Master'!B105</f>
        <v/>
      </c>
      <c r="C105" s="72">
        <f>'Keyword Master'!C105</f>
        <v/>
      </c>
      <c r="D105" s="72">
        <f>'Keyword Master'!M105</f>
        <v/>
      </c>
      <c r="E105" s="73">
        <f>IFERROR(LOOKUP(9.99E+307,J105:AI105),"")</f>
        <v/>
      </c>
      <c r="F105" s="63">
        <f>IFERROR(SMALL(J105:AI105,1),"")</f>
        <v/>
      </c>
      <c r="G105" s="74" t="n"/>
      <c r="H105" s="73">
        <f>IF(OR(E105="",G105=""),"",G105-E105)</f>
        <v/>
      </c>
      <c r="I105" s="63">
        <f>IF(E105="","Not tracked",IF(E105&lt;=3,"Top 3",IF(E105&lt;=10,"Page 1",IF(E105&lt;=20,"Page 2 - near win","Page 3+"))))</f>
        <v/>
      </c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</row>
    <row r="106" ht="15" customHeight="1" s="54">
      <c r="A106" s="63" t="n">
        <v>102</v>
      </c>
      <c r="B106" s="72">
        <f>'Keyword Master'!B106</f>
        <v/>
      </c>
      <c r="C106" s="72">
        <f>'Keyword Master'!C106</f>
        <v/>
      </c>
      <c r="D106" s="72">
        <f>'Keyword Master'!M106</f>
        <v/>
      </c>
      <c r="E106" s="73">
        <f>IFERROR(LOOKUP(9.99E+307,J106:AI106),"")</f>
        <v/>
      </c>
      <c r="F106" s="63">
        <f>IFERROR(SMALL(J106:AI106,1),"")</f>
        <v/>
      </c>
      <c r="G106" s="74" t="n"/>
      <c r="H106" s="73">
        <f>IF(OR(E106="",G106=""),"",G106-E106)</f>
        <v/>
      </c>
      <c r="I106" s="63">
        <f>IF(E106="","Not tracked",IF(E106&lt;=3,"Top 3",IF(E106&lt;=10,"Page 1",IF(E106&lt;=20,"Page 2 - near win","Page 3+"))))</f>
        <v/>
      </c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</row>
    <row r="107" ht="15" customHeight="1" s="54">
      <c r="A107" s="63" t="n">
        <v>103</v>
      </c>
      <c r="B107" s="72">
        <f>'Keyword Master'!B107</f>
        <v/>
      </c>
      <c r="C107" s="72">
        <f>'Keyword Master'!C107</f>
        <v/>
      </c>
      <c r="D107" s="72">
        <f>'Keyword Master'!M107</f>
        <v/>
      </c>
      <c r="E107" s="73">
        <f>IFERROR(LOOKUP(9.99E+307,J107:AI107),"")</f>
        <v/>
      </c>
      <c r="F107" s="63">
        <f>IFERROR(SMALL(J107:AI107,1),"")</f>
        <v/>
      </c>
      <c r="G107" s="74" t="n"/>
      <c r="H107" s="73">
        <f>IF(OR(E107="",G107=""),"",G107-E107)</f>
        <v/>
      </c>
      <c r="I107" s="63">
        <f>IF(E107="","Not tracked",IF(E107&lt;=3,"Top 3",IF(E107&lt;=10,"Page 1",IF(E107&lt;=20,"Page 2 - near win","Page 3+"))))</f>
        <v/>
      </c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</row>
    <row r="108" ht="15" customHeight="1" s="54">
      <c r="A108" s="63" t="n">
        <v>104</v>
      </c>
      <c r="B108" s="72">
        <f>'Keyword Master'!B108</f>
        <v/>
      </c>
      <c r="C108" s="72">
        <f>'Keyword Master'!C108</f>
        <v/>
      </c>
      <c r="D108" s="72">
        <f>'Keyword Master'!M108</f>
        <v/>
      </c>
      <c r="E108" s="73">
        <f>IFERROR(LOOKUP(9.99E+307,J108:AI108),"")</f>
        <v/>
      </c>
      <c r="F108" s="63">
        <f>IFERROR(SMALL(J108:AI108,1),"")</f>
        <v/>
      </c>
      <c r="G108" s="74" t="n"/>
      <c r="H108" s="73">
        <f>IF(OR(E108="",G108=""),"",G108-E108)</f>
        <v/>
      </c>
      <c r="I108" s="63">
        <f>IF(E108="","Not tracked",IF(E108&lt;=3,"Top 3",IF(E108&lt;=10,"Page 1",IF(E108&lt;=20,"Page 2 - near win","Page 3+"))))</f>
        <v/>
      </c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</row>
    <row r="109" ht="15" customHeight="1" s="54">
      <c r="A109" s="63" t="n">
        <v>105</v>
      </c>
      <c r="B109" s="72">
        <f>'Keyword Master'!B109</f>
        <v/>
      </c>
      <c r="C109" s="72">
        <f>'Keyword Master'!C109</f>
        <v/>
      </c>
      <c r="D109" s="72">
        <f>'Keyword Master'!M109</f>
        <v/>
      </c>
      <c r="E109" s="73">
        <f>IFERROR(LOOKUP(9.99E+307,J109:AI109),"")</f>
        <v/>
      </c>
      <c r="F109" s="63">
        <f>IFERROR(SMALL(J109:AI109,1),"")</f>
        <v/>
      </c>
      <c r="G109" s="74" t="n"/>
      <c r="H109" s="73">
        <f>IF(OR(E109="",G109=""),"",G109-E109)</f>
        <v/>
      </c>
      <c r="I109" s="63">
        <f>IF(E109="","Not tracked",IF(E109&lt;=3,"Top 3",IF(E109&lt;=10,"Page 1",IF(E109&lt;=20,"Page 2 - near win","Page 3+"))))</f>
        <v/>
      </c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</row>
    <row r="110" ht="15" customHeight="1" s="54">
      <c r="A110" s="63" t="n">
        <v>106</v>
      </c>
      <c r="B110" s="72">
        <f>'Keyword Master'!B110</f>
        <v/>
      </c>
      <c r="C110" s="72">
        <f>'Keyword Master'!C110</f>
        <v/>
      </c>
      <c r="D110" s="72">
        <f>'Keyword Master'!M110</f>
        <v/>
      </c>
      <c r="E110" s="73">
        <f>IFERROR(LOOKUP(9.99E+307,J110:AI110),"")</f>
        <v/>
      </c>
      <c r="F110" s="63">
        <f>IFERROR(SMALL(J110:AI110,1),"")</f>
        <v/>
      </c>
      <c r="G110" s="74" t="n"/>
      <c r="H110" s="73">
        <f>IF(OR(E110="",G110=""),"",G110-E110)</f>
        <v/>
      </c>
      <c r="I110" s="63">
        <f>IF(E110="","Not tracked",IF(E110&lt;=3,"Top 3",IF(E110&lt;=10,"Page 1",IF(E110&lt;=20,"Page 2 - near win","Page 3+"))))</f>
        <v/>
      </c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</row>
    <row r="111" ht="15" customHeight="1" s="54">
      <c r="A111" s="63" t="n">
        <v>107</v>
      </c>
      <c r="B111" s="72">
        <f>'Keyword Master'!B111</f>
        <v/>
      </c>
      <c r="C111" s="72">
        <f>'Keyword Master'!C111</f>
        <v/>
      </c>
      <c r="D111" s="72">
        <f>'Keyword Master'!M111</f>
        <v/>
      </c>
      <c r="E111" s="73">
        <f>IFERROR(LOOKUP(9.99E+307,J111:AI111),"")</f>
        <v/>
      </c>
      <c r="F111" s="63">
        <f>IFERROR(SMALL(J111:AI111,1),"")</f>
        <v/>
      </c>
      <c r="G111" s="74" t="n"/>
      <c r="H111" s="73">
        <f>IF(OR(E111="",G111=""),"",G111-E111)</f>
        <v/>
      </c>
      <c r="I111" s="63">
        <f>IF(E111="","Not tracked",IF(E111&lt;=3,"Top 3",IF(E111&lt;=10,"Page 1",IF(E111&lt;=20,"Page 2 - near win","Page 3+"))))</f>
        <v/>
      </c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75" t="n"/>
      <c r="Z111" s="75" t="n"/>
      <c r="AA111" s="75" t="n"/>
      <c r="AB111" s="75" t="n"/>
      <c r="AC111" s="75" t="n"/>
      <c r="AD111" s="75" t="n"/>
      <c r="AE111" s="75" t="n"/>
      <c r="AF111" s="75" t="n"/>
      <c r="AG111" s="75" t="n"/>
      <c r="AH111" s="75" t="n"/>
      <c r="AI111" s="75" t="n"/>
    </row>
    <row r="112" ht="15" customHeight="1" s="54">
      <c r="A112" s="63" t="n">
        <v>108</v>
      </c>
      <c r="B112" s="72">
        <f>'Keyword Master'!B112</f>
        <v/>
      </c>
      <c r="C112" s="72">
        <f>'Keyword Master'!C112</f>
        <v/>
      </c>
      <c r="D112" s="72">
        <f>'Keyword Master'!M112</f>
        <v/>
      </c>
      <c r="E112" s="73">
        <f>IFERROR(LOOKUP(9.99E+307,J112:AI112),"")</f>
        <v/>
      </c>
      <c r="F112" s="63">
        <f>IFERROR(SMALL(J112:AI112,1),"")</f>
        <v/>
      </c>
      <c r="G112" s="74" t="n"/>
      <c r="H112" s="73">
        <f>IF(OR(E112="",G112=""),"",G112-E112)</f>
        <v/>
      </c>
      <c r="I112" s="63">
        <f>IF(E112="","Not tracked",IF(E112&lt;=3,"Top 3",IF(E112&lt;=10,"Page 1",IF(E112&lt;=20,"Page 2 - near win","Page 3+"))))</f>
        <v/>
      </c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</row>
    <row r="113" ht="15" customHeight="1" s="54">
      <c r="A113" s="63" t="n">
        <v>109</v>
      </c>
      <c r="B113" s="72">
        <f>'Keyword Master'!B113</f>
        <v/>
      </c>
      <c r="C113" s="72">
        <f>'Keyword Master'!C113</f>
        <v/>
      </c>
      <c r="D113" s="72">
        <f>'Keyword Master'!M113</f>
        <v/>
      </c>
      <c r="E113" s="73">
        <f>IFERROR(LOOKUP(9.99E+307,J113:AI113),"")</f>
        <v/>
      </c>
      <c r="F113" s="63">
        <f>IFERROR(SMALL(J113:AI113,1),"")</f>
        <v/>
      </c>
      <c r="G113" s="74" t="n"/>
      <c r="H113" s="73">
        <f>IF(OR(E113="",G113=""),"",G113-E113)</f>
        <v/>
      </c>
      <c r="I113" s="63">
        <f>IF(E113="","Not tracked",IF(E113&lt;=3,"Top 3",IF(E113&lt;=10,"Page 1",IF(E113&lt;=20,"Page 2 - near win","Page 3+"))))</f>
        <v/>
      </c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</row>
    <row r="114" ht="15" customHeight="1" s="54">
      <c r="A114" s="63" t="n">
        <v>110</v>
      </c>
      <c r="B114" s="72">
        <f>'Keyword Master'!B114</f>
        <v/>
      </c>
      <c r="C114" s="72">
        <f>'Keyword Master'!C114</f>
        <v/>
      </c>
      <c r="D114" s="72">
        <f>'Keyword Master'!M114</f>
        <v/>
      </c>
      <c r="E114" s="73">
        <f>IFERROR(LOOKUP(9.99E+307,J114:AI114),"")</f>
        <v/>
      </c>
      <c r="F114" s="63">
        <f>IFERROR(SMALL(J114:AI114,1),"")</f>
        <v/>
      </c>
      <c r="G114" s="74" t="n"/>
      <c r="H114" s="73">
        <f>IF(OR(E114="",G114=""),"",G114-E114)</f>
        <v/>
      </c>
      <c r="I114" s="63">
        <f>IF(E114="","Not tracked",IF(E114&lt;=3,"Top 3",IF(E114&lt;=10,"Page 1",IF(E114&lt;=20,"Page 2 - near win","Page 3+"))))</f>
        <v/>
      </c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</row>
    <row r="115" ht="15" customHeight="1" s="54">
      <c r="A115" s="63" t="n">
        <v>111</v>
      </c>
      <c r="B115" s="72">
        <f>'Keyword Master'!B115</f>
        <v/>
      </c>
      <c r="C115" s="72">
        <f>'Keyword Master'!C115</f>
        <v/>
      </c>
      <c r="D115" s="72">
        <f>'Keyword Master'!M115</f>
        <v/>
      </c>
      <c r="E115" s="73">
        <f>IFERROR(LOOKUP(9.99E+307,J115:AI115),"")</f>
        <v/>
      </c>
      <c r="F115" s="63">
        <f>IFERROR(SMALL(J115:AI115,1),"")</f>
        <v/>
      </c>
      <c r="G115" s="74" t="n"/>
      <c r="H115" s="73">
        <f>IF(OR(E115="",G115=""),"",G115-E115)</f>
        <v/>
      </c>
      <c r="I115" s="63">
        <f>IF(E115="","Not tracked",IF(E115&lt;=3,"Top 3",IF(E115&lt;=10,"Page 1",IF(E115&lt;=20,"Page 2 - near win","Page 3+"))))</f>
        <v/>
      </c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</row>
    <row r="116" ht="15" customHeight="1" s="54">
      <c r="A116" s="63" t="n">
        <v>112</v>
      </c>
      <c r="B116" s="72">
        <f>'Keyword Master'!B116</f>
        <v/>
      </c>
      <c r="C116" s="72">
        <f>'Keyword Master'!C116</f>
        <v/>
      </c>
      <c r="D116" s="72">
        <f>'Keyword Master'!M116</f>
        <v/>
      </c>
      <c r="E116" s="73">
        <f>IFERROR(LOOKUP(9.99E+307,J116:AI116),"")</f>
        <v/>
      </c>
      <c r="F116" s="63">
        <f>IFERROR(SMALL(J116:AI116,1),"")</f>
        <v/>
      </c>
      <c r="G116" s="74" t="n"/>
      <c r="H116" s="73">
        <f>IF(OR(E116="",G116=""),"",G116-E116)</f>
        <v/>
      </c>
      <c r="I116" s="63">
        <f>IF(E116="","Not tracked",IF(E116&lt;=3,"Top 3",IF(E116&lt;=10,"Page 1",IF(E116&lt;=20,"Page 2 - near win","Page 3+"))))</f>
        <v/>
      </c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</row>
    <row r="117" ht="15" customHeight="1" s="54">
      <c r="A117" s="63" t="n">
        <v>113</v>
      </c>
      <c r="B117" s="72">
        <f>'Keyword Master'!B117</f>
        <v/>
      </c>
      <c r="C117" s="72">
        <f>'Keyword Master'!C117</f>
        <v/>
      </c>
      <c r="D117" s="72">
        <f>'Keyword Master'!M117</f>
        <v/>
      </c>
      <c r="E117" s="73">
        <f>IFERROR(LOOKUP(9.99E+307,J117:AI117),"")</f>
        <v/>
      </c>
      <c r="F117" s="63">
        <f>IFERROR(SMALL(J117:AI117,1),"")</f>
        <v/>
      </c>
      <c r="G117" s="74" t="n"/>
      <c r="H117" s="73">
        <f>IF(OR(E117="",G117=""),"",G117-E117)</f>
        <v/>
      </c>
      <c r="I117" s="63">
        <f>IF(E117="","Not tracked",IF(E117&lt;=3,"Top 3",IF(E117&lt;=10,"Page 1",IF(E117&lt;=20,"Page 2 - near win","Page 3+"))))</f>
        <v/>
      </c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</row>
    <row r="118" ht="15" customHeight="1" s="54">
      <c r="A118" s="63" t="n">
        <v>114</v>
      </c>
      <c r="B118" s="72">
        <f>'Keyword Master'!B118</f>
        <v/>
      </c>
      <c r="C118" s="72">
        <f>'Keyword Master'!C118</f>
        <v/>
      </c>
      <c r="D118" s="72">
        <f>'Keyword Master'!M118</f>
        <v/>
      </c>
      <c r="E118" s="73">
        <f>IFERROR(LOOKUP(9.99E+307,J118:AI118),"")</f>
        <v/>
      </c>
      <c r="F118" s="63">
        <f>IFERROR(SMALL(J118:AI118,1),"")</f>
        <v/>
      </c>
      <c r="G118" s="74" t="n"/>
      <c r="H118" s="73">
        <f>IF(OR(E118="",G118=""),"",G118-E118)</f>
        <v/>
      </c>
      <c r="I118" s="63">
        <f>IF(E118="","Not tracked",IF(E118&lt;=3,"Top 3",IF(E118&lt;=10,"Page 1",IF(E118&lt;=20,"Page 2 - near win","Page 3+"))))</f>
        <v/>
      </c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</row>
    <row r="119" ht="15" customHeight="1" s="54">
      <c r="A119" s="63" t="n">
        <v>115</v>
      </c>
      <c r="B119" s="72">
        <f>'Keyword Master'!B119</f>
        <v/>
      </c>
      <c r="C119" s="72">
        <f>'Keyword Master'!C119</f>
        <v/>
      </c>
      <c r="D119" s="72">
        <f>'Keyword Master'!M119</f>
        <v/>
      </c>
      <c r="E119" s="73">
        <f>IFERROR(LOOKUP(9.99E+307,J119:AI119),"")</f>
        <v/>
      </c>
      <c r="F119" s="63">
        <f>IFERROR(SMALL(J119:AI119,1),"")</f>
        <v/>
      </c>
      <c r="G119" s="74" t="n"/>
      <c r="H119" s="73">
        <f>IF(OR(E119="",G119=""),"",G119-E119)</f>
        <v/>
      </c>
      <c r="I119" s="63">
        <f>IF(E119="","Not tracked",IF(E119&lt;=3,"Top 3",IF(E119&lt;=10,"Page 1",IF(E119&lt;=20,"Page 2 - near win","Page 3+"))))</f>
        <v/>
      </c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</row>
    <row r="120" ht="15" customHeight="1" s="54">
      <c r="A120" s="63" t="n">
        <v>116</v>
      </c>
      <c r="B120" s="72">
        <f>'Keyword Master'!B120</f>
        <v/>
      </c>
      <c r="C120" s="72">
        <f>'Keyword Master'!C120</f>
        <v/>
      </c>
      <c r="D120" s="72">
        <f>'Keyword Master'!M120</f>
        <v/>
      </c>
      <c r="E120" s="73">
        <f>IFERROR(LOOKUP(9.99E+307,J120:AI120),"")</f>
        <v/>
      </c>
      <c r="F120" s="63">
        <f>IFERROR(SMALL(J120:AI120,1),"")</f>
        <v/>
      </c>
      <c r="G120" s="74" t="n"/>
      <c r="H120" s="73">
        <f>IF(OR(E120="",G120=""),"",G120-E120)</f>
        <v/>
      </c>
      <c r="I120" s="63">
        <f>IF(E120="","Not tracked",IF(E120&lt;=3,"Top 3",IF(E120&lt;=10,"Page 1",IF(E120&lt;=20,"Page 2 - near win","Page 3+"))))</f>
        <v/>
      </c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</row>
    <row r="121" ht="15" customHeight="1" s="54">
      <c r="A121" s="63" t="n">
        <v>117</v>
      </c>
      <c r="B121" s="72">
        <f>'Keyword Master'!B121</f>
        <v/>
      </c>
      <c r="C121" s="72">
        <f>'Keyword Master'!C121</f>
        <v/>
      </c>
      <c r="D121" s="72">
        <f>'Keyword Master'!M121</f>
        <v/>
      </c>
      <c r="E121" s="73">
        <f>IFERROR(LOOKUP(9.99E+307,J121:AI121),"")</f>
        <v/>
      </c>
      <c r="F121" s="63">
        <f>IFERROR(SMALL(J121:AI121,1),"")</f>
        <v/>
      </c>
      <c r="G121" s="74" t="n"/>
      <c r="H121" s="73">
        <f>IF(OR(E121="",G121=""),"",G121-E121)</f>
        <v/>
      </c>
      <c r="I121" s="63">
        <f>IF(E121="","Not tracked",IF(E121&lt;=3,"Top 3",IF(E121&lt;=10,"Page 1",IF(E121&lt;=20,"Page 2 - near win","Page 3+"))))</f>
        <v/>
      </c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</row>
    <row r="122" ht="15" customHeight="1" s="54">
      <c r="A122" s="63" t="n">
        <v>118</v>
      </c>
      <c r="B122" s="72">
        <f>'Keyword Master'!B122</f>
        <v/>
      </c>
      <c r="C122" s="72">
        <f>'Keyword Master'!C122</f>
        <v/>
      </c>
      <c r="D122" s="72">
        <f>'Keyword Master'!M122</f>
        <v/>
      </c>
      <c r="E122" s="73">
        <f>IFERROR(LOOKUP(9.99E+307,J122:AI122),"")</f>
        <v/>
      </c>
      <c r="F122" s="63">
        <f>IFERROR(SMALL(J122:AI122,1),"")</f>
        <v/>
      </c>
      <c r="G122" s="74" t="n"/>
      <c r="H122" s="73">
        <f>IF(OR(E122="",G122=""),"",G122-E122)</f>
        <v/>
      </c>
      <c r="I122" s="63">
        <f>IF(E122="","Not tracked",IF(E122&lt;=3,"Top 3",IF(E122&lt;=10,"Page 1",IF(E122&lt;=20,"Page 2 - near win","Page 3+"))))</f>
        <v/>
      </c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</row>
    <row r="123" ht="15" customHeight="1" s="54">
      <c r="A123" s="63" t="n">
        <v>119</v>
      </c>
      <c r="B123" s="72">
        <f>'Keyword Master'!B123</f>
        <v/>
      </c>
      <c r="C123" s="72">
        <f>'Keyword Master'!C123</f>
        <v/>
      </c>
      <c r="D123" s="72">
        <f>'Keyword Master'!M123</f>
        <v/>
      </c>
      <c r="E123" s="73">
        <f>IFERROR(LOOKUP(9.99E+307,J123:AI123),"")</f>
        <v/>
      </c>
      <c r="F123" s="63">
        <f>IFERROR(SMALL(J123:AI123,1),"")</f>
        <v/>
      </c>
      <c r="G123" s="74" t="n"/>
      <c r="H123" s="73">
        <f>IF(OR(E123="",G123=""),"",G123-E123)</f>
        <v/>
      </c>
      <c r="I123" s="63">
        <f>IF(E123="","Not tracked",IF(E123&lt;=3,"Top 3",IF(E123&lt;=10,"Page 1",IF(E123&lt;=20,"Page 2 - near win","Page 3+"))))</f>
        <v/>
      </c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</row>
    <row r="124" ht="15" customHeight="1" s="54">
      <c r="A124" s="63" t="n">
        <v>120</v>
      </c>
      <c r="B124" s="72">
        <f>'Keyword Master'!B124</f>
        <v/>
      </c>
      <c r="C124" s="72">
        <f>'Keyword Master'!C124</f>
        <v/>
      </c>
      <c r="D124" s="72">
        <f>'Keyword Master'!M124</f>
        <v/>
      </c>
      <c r="E124" s="73">
        <f>IFERROR(LOOKUP(9.99E+307,J124:AI124),"")</f>
        <v/>
      </c>
      <c r="F124" s="63">
        <f>IFERROR(SMALL(J124:AI124,1),"")</f>
        <v/>
      </c>
      <c r="G124" s="74" t="n"/>
      <c r="H124" s="73">
        <f>IF(OR(E124="",G124=""),"",G124-E124)</f>
        <v/>
      </c>
      <c r="I124" s="63">
        <f>IF(E124="","Not tracked",IF(E124&lt;=3,"Top 3",IF(E124&lt;=10,"Page 1",IF(E124&lt;=20,"Page 2 - near win","Page 3+"))))</f>
        <v/>
      </c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</row>
    <row r="125" ht="15" customHeight="1" s="54">
      <c r="A125" s="63" t="n">
        <v>121</v>
      </c>
      <c r="B125" s="72">
        <f>'Keyword Master'!B125</f>
        <v/>
      </c>
      <c r="C125" s="72">
        <f>'Keyword Master'!C125</f>
        <v/>
      </c>
      <c r="D125" s="72">
        <f>'Keyword Master'!M125</f>
        <v/>
      </c>
      <c r="E125" s="73">
        <f>IFERROR(LOOKUP(9.99E+307,J125:AI125),"")</f>
        <v/>
      </c>
      <c r="F125" s="63">
        <f>IFERROR(SMALL(J125:AI125,1),"")</f>
        <v/>
      </c>
      <c r="G125" s="74" t="n"/>
      <c r="H125" s="73">
        <f>IF(OR(E125="",G125=""),"",G125-E125)</f>
        <v/>
      </c>
      <c r="I125" s="63">
        <f>IF(E125="","Not tracked",IF(E125&lt;=3,"Top 3",IF(E125&lt;=10,"Page 1",IF(E125&lt;=20,"Page 2 - near win","Page 3+"))))</f>
        <v/>
      </c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</row>
    <row r="126" ht="15" customHeight="1" s="54">
      <c r="A126" s="63" t="n">
        <v>122</v>
      </c>
      <c r="B126" s="72">
        <f>'Keyword Master'!B126</f>
        <v/>
      </c>
      <c r="C126" s="72">
        <f>'Keyword Master'!C126</f>
        <v/>
      </c>
      <c r="D126" s="72">
        <f>'Keyword Master'!M126</f>
        <v/>
      </c>
      <c r="E126" s="73">
        <f>IFERROR(LOOKUP(9.99E+307,J126:AI126),"")</f>
        <v/>
      </c>
      <c r="F126" s="63">
        <f>IFERROR(SMALL(J126:AI126,1),"")</f>
        <v/>
      </c>
      <c r="G126" s="74" t="n"/>
      <c r="H126" s="73">
        <f>IF(OR(E126="",G126=""),"",G126-E126)</f>
        <v/>
      </c>
      <c r="I126" s="63">
        <f>IF(E126="","Not tracked",IF(E126&lt;=3,"Top 3",IF(E126&lt;=10,"Page 1",IF(E126&lt;=20,"Page 2 - near win","Page 3+"))))</f>
        <v/>
      </c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  <c r="AA126" s="75" t="n"/>
      <c r="AB126" s="75" t="n"/>
      <c r="AC126" s="75" t="n"/>
      <c r="AD126" s="75" t="n"/>
      <c r="AE126" s="75" t="n"/>
      <c r="AF126" s="75" t="n"/>
      <c r="AG126" s="75" t="n"/>
      <c r="AH126" s="75" t="n"/>
      <c r="AI126" s="75" t="n"/>
    </row>
    <row r="127" ht="15" customHeight="1" s="54">
      <c r="A127" s="63" t="n">
        <v>123</v>
      </c>
      <c r="B127" s="72">
        <f>'Keyword Master'!B127</f>
        <v/>
      </c>
      <c r="C127" s="72">
        <f>'Keyword Master'!C127</f>
        <v/>
      </c>
      <c r="D127" s="72">
        <f>'Keyword Master'!M127</f>
        <v/>
      </c>
      <c r="E127" s="73">
        <f>IFERROR(LOOKUP(9.99E+307,J127:AI127),"")</f>
        <v/>
      </c>
      <c r="F127" s="63">
        <f>IFERROR(SMALL(J127:AI127,1),"")</f>
        <v/>
      </c>
      <c r="G127" s="74" t="n"/>
      <c r="H127" s="73">
        <f>IF(OR(E127="",G127=""),"",G127-E127)</f>
        <v/>
      </c>
      <c r="I127" s="63">
        <f>IF(E127="","Not tracked",IF(E127&lt;=3,"Top 3",IF(E127&lt;=10,"Page 1",IF(E127&lt;=20,"Page 2 - near win","Page 3+"))))</f>
        <v/>
      </c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</row>
    <row r="128" ht="15" customHeight="1" s="54">
      <c r="A128" s="63" t="n">
        <v>124</v>
      </c>
      <c r="B128" s="72">
        <f>'Keyword Master'!B128</f>
        <v/>
      </c>
      <c r="C128" s="72">
        <f>'Keyword Master'!C128</f>
        <v/>
      </c>
      <c r="D128" s="72">
        <f>'Keyword Master'!M128</f>
        <v/>
      </c>
      <c r="E128" s="73">
        <f>IFERROR(LOOKUP(9.99E+307,J128:AI128),"")</f>
        <v/>
      </c>
      <c r="F128" s="63">
        <f>IFERROR(SMALL(J128:AI128,1),"")</f>
        <v/>
      </c>
      <c r="G128" s="74" t="n"/>
      <c r="H128" s="73">
        <f>IF(OR(E128="",G128=""),"",G128-E128)</f>
        <v/>
      </c>
      <c r="I128" s="63">
        <f>IF(E128="","Not tracked",IF(E128&lt;=3,"Top 3",IF(E128&lt;=10,"Page 1",IF(E128&lt;=20,"Page 2 - near win","Page 3+"))))</f>
        <v/>
      </c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</row>
    <row r="129" ht="15" customHeight="1" s="54">
      <c r="A129" s="63" t="n">
        <v>125</v>
      </c>
      <c r="B129" s="72">
        <f>'Keyword Master'!B129</f>
        <v/>
      </c>
      <c r="C129" s="72">
        <f>'Keyword Master'!C129</f>
        <v/>
      </c>
      <c r="D129" s="72">
        <f>'Keyword Master'!M129</f>
        <v/>
      </c>
      <c r="E129" s="73">
        <f>IFERROR(LOOKUP(9.99E+307,J129:AI129),"")</f>
        <v/>
      </c>
      <c r="F129" s="63">
        <f>IFERROR(SMALL(J129:AI129,1),"")</f>
        <v/>
      </c>
      <c r="G129" s="74" t="n"/>
      <c r="H129" s="73">
        <f>IF(OR(E129="",G129=""),"",G129-E129)</f>
        <v/>
      </c>
      <c r="I129" s="63">
        <f>IF(E129="","Not tracked",IF(E129&lt;=3,"Top 3",IF(E129&lt;=10,"Page 1",IF(E129&lt;=20,"Page 2 - near win","Page 3+"))))</f>
        <v/>
      </c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</row>
    <row r="130" ht="15" customHeight="1" s="54">
      <c r="A130" s="63" t="n">
        <v>126</v>
      </c>
      <c r="B130" s="72">
        <f>'Keyword Master'!B130</f>
        <v/>
      </c>
      <c r="C130" s="72">
        <f>'Keyword Master'!C130</f>
        <v/>
      </c>
      <c r="D130" s="72">
        <f>'Keyword Master'!M130</f>
        <v/>
      </c>
      <c r="E130" s="73">
        <f>IFERROR(LOOKUP(9.99E+307,J130:AI130),"")</f>
        <v/>
      </c>
      <c r="F130" s="63">
        <f>IFERROR(SMALL(J130:AI130,1),"")</f>
        <v/>
      </c>
      <c r="G130" s="74" t="n"/>
      <c r="H130" s="73">
        <f>IF(OR(E130="",G130=""),"",G130-E130)</f>
        <v/>
      </c>
      <c r="I130" s="63">
        <f>IF(E130="","Not tracked",IF(E130&lt;=3,"Top 3",IF(E130&lt;=10,"Page 1",IF(E130&lt;=20,"Page 2 - near win","Page 3+"))))</f>
        <v/>
      </c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</row>
    <row r="131" ht="15" customHeight="1" s="54">
      <c r="A131" s="63" t="n">
        <v>127</v>
      </c>
      <c r="B131" s="72">
        <f>'Keyword Master'!B131</f>
        <v/>
      </c>
      <c r="C131" s="72">
        <f>'Keyword Master'!C131</f>
        <v/>
      </c>
      <c r="D131" s="72">
        <f>'Keyword Master'!M131</f>
        <v/>
      </c>
      <c r="E131" s="73">
        <f>IFERROR(LOOKUP(9.99E+307,J131:AI131),"")</f>
        <v/>
      </c>
      <c r="F131" s="63">
        <f>IFERROR(SMALL(J131:AI131,1),"")</f>
        <v/>
      </c>
      <c r="G131" s="74" t="n"/>
      <c r="H131" s="73">
        <f>IF(OR(E131="",G131=""),"",G131-E131)</f>
        <v/>
      </c>
      <c r="I131" s="63">
        <f>IF(E131="","Not tracked",IF(E131&lt;=3,"Top 3",IF(E131&lt;=10,"Page 1",IF(E131&lt;=20,"Page 2 - near win","Page 3+"))))</f>
        <v/>
      </c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</row>
    <row r="132" ht="15" customHeight="1" s="54">
      <c r="A132" s="63" t="n">
        <v>128</v>
      </c>
      <c r="B132" s="72">
        <f>'Keyword Master'!B132</f>
        <v/>
      </c>
      <c r="C132" s="72">
        <f>'Keyword Master'!C132</f>
        <v/>
      </c>
      <c r="D132" s="72">
        <f>'Keyword Master'!M132</f>
        <v/>
      </c>
      <c r="E132" s="73">
        <f>IFERROR(LOOKUP(9.99E+307,J132:AI132),"")</f>
        <v/>
      </c>
      <c r="F132" s="63">
        <f>IFERROR(SMALL(J132:AI132,1),"")</f>
        <v/>
      </c>
      <c r="G132" s="74" t="n"/>
      <c r="H132" s="73">
        <f>IF(OR(E132="",G132=""),"",G132-E132)</f>
        <v/>
      </c>
      <c r="I132" s="63">
        <f>IF(E132="","Not tracked",IF(E132&lt;=3,"Top 3",IF(E132&lt;=10,"Page 1",IF(E132&lt;=20,"Page 2 - near win","Page 3+"))))</f>
        <v/>
      </c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</row>
    <row r="133" ht="15" customHeight="1" s="54">
      <c r="A133" s="63" t="n">
        <v>129</v>
      </c>
      <c r="B133" s="72">
        <f>'Keyword Master'!B133</f>
        <v/>
      </c>
      <c r="C133" s="72">
        <f>'Keyword Master'!C133</f>
        <v/>
      </c>
      <c r="D133" s="72">
        <f>'Keyword Master'!M133</f>
        <v/>
      </c>
      <c r="E133" s="73">
        <f>IFERROR(LOOKUP(9.99E+307,J133:AI133),"")</f>
        <v/>
      </c>
      <c r="F133" s="63">
        <f>IFERROR(SMALL(J133:AI133,1),"")</f>
        <v/>
      </c>
      <c r="G133" s="74" t="n"/>
      <c r="H133" s="73">
        <f>IF(OR(E133="",G133=""),"",G133-E133)</f>
        <v/>
      </c>
      <c r="I133" s="63">
        <f>IF(E133="","Not tracked",IF(E133&lt;=3,"Top 3",IF(E133&lt;=10,"Page 1",IF(E133&lt;=20,"Page 2 - near win","Page 3+"))))</f>
        <v/>
      </c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</row>
    <row r="134" ht="15" customHeight="1" s="54">
      <c r="A134" s="63" t="n">
        <v>130</v>
      </c>
      <c r="B134" s="72">
        <f>'Keyword Master'!B134</f>
        <v/>
      </c>
      <c r="C134" s="72">
        <f>'Keyword Master'!C134</f>
        <v/>
      </c>
      <c r="D134" s="72">
        <f>'Keyword Master'!M134</f>
        <v/>
      </c>
      <c r="E134" s="73">
        <f>IFERROR(LOOKUP(9.99E+307,J134:AI134),"")</f>
        <v/>
      </c>
      <c r="F134" s="63">
        <f>IFERROR(SMALL(J134:AI134,1),"")</f>
        <v/>
      </c>
      <c r="G134" s="74" t="n"/>
      <c r="H134" s="73">
        <f>IF(OR(E134="",G134=""),"",G134-E134)</f>
        <v/>
      </c>
      <c r="I134" s="63">
        <f>IF(E134="","Not tracked",IF(E134&lt;=3,"Top 3",IF(E134&lt;=10,"Page 1",IF(E134&lt;=20,"Page 2 - near win","Page 3+"))))</f>
        <v/>
      </c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</row>
    <row r="135" ht="15" customHeight="1" s="54">
      <c r="A135" s="63" t="n">
        <v>131</v>
      </c>
      <c r="B135" s="72">
        <f>'Keyword Master'!B135</f>
        <v/>
      </c>
      <c r="C135" s="72">
        <f>'Keyword Master'!C135</f>
        <v/>
      </c>
      <c r="D135" s="72">
        <f>'Keyword Master'!M135</f>
        <v/>
      </c>
      <c r="E135" s="73">
        <f>IFERROR(LOOKUP(9.99E+307,J135:AI135),"")</f>
        <v/>
      </c>
      <c r="F135" s="63">
        <f>IFERROR(SMALL(J135:AI135,1),"")</f>
        <v/>
      </c>
      <c r="G135" s="74" t="n"/>
      <c r="H135" s="73">
        <f>IF(OR(E135="",G135=""),"",G135-E135)</f>
        <v/>
      </c>
      <c r="I135" s="63">
        <f>IF(E135="","Not tracked",IF(E135&lt;=3,"Top 3",IF(E135&lt;=10,"Page 1",IF(E135&lt;=20,"Page 2 - near win","Page 3+"))))</f>
        <v/>
      </c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</row>
    <row r="136" ht="15" customHeight="1" s="54">
      <c r="A136" s="63" t="n">
        <v>132</v>
      </c>
      <c r="B136" s="72">
        <f>'Keyword Master'!B136</f>
        <v/>
      </c>
      <c r="C136" s="72">
        <f>'Keyword Master'!C136</f>
        <v/>
      </c>
      <c r="D136" s="72">
        <f>'Keyword Master'!M136</f>
        <v/>
      </c>
      <c r="E136" s="73">
        <f>IFERROR(LOOKUP(9.99E+307,J136:AI136),"")</f>
        <v/>
      </c>
      <c r="F136" s="63">
        <f>IFERROR(SMALL(J136:AI136,1),"")</f>
        <v/>
      </c>
      <c r="G136" s="74" t="n"/>
      <c r="H136" s="73">
        <f>IF(OR(E136="",G136=""),"",G136-E136)</f>
        <v/>
      </c>
      <c r="I136" s="63">
        <f>IF(E136="","Not tracked",IF(E136&lt;=3,"Top 3",IF(E136&lt;=10,"Page 1",IF(E136&lt;=20,"Page 2 - near win","Page 3+"))))</f>
        <v/>
      </c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</row>
    <row r="137" ht="15" customHeight="1" s="54">
      <c r="A137" s="63" t="n">
        <v>133</v>
      </c>
      <c r="B137" s="72">
        <f>'Keyword Master'!B137</f>
        <v/>
      </c>
      <c r="C137" s="72">
        <f>'Keyword Master'!C137</f>
        <v/>
      </c>
      <c r="D137" s="72">
        <f>'Keyword Master'!M137</f>
        <v/>
      </c>
      <c r="E137" s="73">
        <f>IFERROR(LOOKUP(9.99E+307,J137:AI137),"")</f>
        <v/>
      </c>
      <c r="F137" s="63">
        <f>IFERROR(SMALL(J137:AI137,1),"")</f>
        <v/>
      </c>
      <c r="G137" s="74" t="n"/>
      <c r="H137" s="73">
        <f>IF(OR(E137="",G137=""),"",G137-E137)</f>
        <v/>
      </c>
      <c r="I137" s="63">
        <f>IF(E137="","Not tracked",IF(E137&lt;=3,"Top 3",IF(E137&lt;=10,"Page 1",IF(E137&lt;=20,"Page 2 - near win","Page 3+"))))</f>
        <v/>
      </c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</row>
    <row r="138" ht="15" customHeight="1" s="54">
      <c r="A138" s="63" t="n">
        <v>134</v>
      </c>
      <c r="B138" s="72">
        <f>'Keyword Master'!B138</f>
        <v/>
      </c>
      <c r="C138" s="72">
        <f>'Keyword Master'!C138</f>
        <v/>
      </c>
      <c r="D138" s="72">
        <f>'Keyword Master'!M138</f>
        <v/>
      </c>
      <c r="E138" s="73">
        <f>IFERROR(LOOKUP(9.99E+307,J138:AI138),"")</f>
        <v/>
      </c>
      <c r="F138" s="63">
        <f>IFERROR(SMALL(J138:AI138,1),"")</f>
        <v/>
      </c>
      <c r="G138" s="74" t="n"/>
      <c r="H138" s="73">
        <f>IF(OR(E138="",G138=""),"",G138-E138)</f>
        <v/>
      </c>
      <c r="I138" s="63">
        <f>IF(E138="","Not tracked",IF(E138&lt;=3,"Top 3",IF(E138&lt;=10,"Page 1",IF(E138&lt;=20,"Page 2 - near win","Page 3+"))))</f>
        <v/>
      </c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</row>
    <row r="139" ht="15" customHeight="1" s="54">
      <c r="A139" s="63" t="n">
        <v>135</v>
      </c>
      <c r="B139" s="72">
        <f>'Keyword Master'!B139</f>
        <v/>
      </c>
      <c r="C139" s="72">
        <f>'Keyword Master'!C139</f>
        <v/>
      </c>
      <c r="D139" s="72">
        <f>'Keyword Master'!M139</f>
        <v/>
      </c>
      <c r="E139" s="73">
        <f>IFERROR(LOOKUP(9.99E+307,J139:AI139),"")</f>
        <v/>
      </c>
      <c r="F139" s="63">
        <f>IFERROR(SMALL(J139:AI139,1),"")</f>
        <v/>
      </c>
      <c r="G139" s="74" t="n"/>
      <c r="H139" s="73">
        <f>IF(OR(E139="",G139=""),"",G139-E139)</f>
        <v/>
      </c>
      <c r="I139" s="63">
        <f>IF(E139="","Not tracked",IF(E139&lt;=3,"Top 3",IF(E139&lt;=10,"Page 1",IF(E139&lt;=20,"Page 2 - near win","Page 3+"))))</f>
        <v/>
      </c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</row>
    <row r="140" ht="15" customHeight="1" s="54">
      <c r="A140" s="63" t="n">
        <v>136</v>
      </c>
      <c r="B140" s="72">
        <f>'Keyword Master'!B140</f>
        <v/>
      </c>
      <c r="C140" s="72">
        <f>'Keyword Master'!C140</f>
        <v/>
      </c>
      <c r="D140" s="72">
        <f>'Keyword Master'!M140</f>
        <v/>
      </c>
      <c r="E140" s="73">
        <f>IFERROR(LOOKUP(9.99E+307,J140:AI140),"")</f>
        <v/>
      </c>
      <c r="F140" s="63">
        <f>IFERROR(SMALL(J140:AI140,1),"")</f>
        <v/>
      </c>
      <c r="G140" s="74" t="n"/>
      <c r="H140" s="73">
        <f>IF(OR(E140="",G140=""),"",G140-E140)</f>
        <v/>
      </c>
      <c r="I140" s="63">
        <f>IF(E140="","Not tracked",IF(E140&lt;=3,"Top 3",IF(E140&lt;=10,"Page 1",IF(E140&lt;=20,"Page 2 - near win","Page 3+"))))</f>
        <v/>
      </c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</row>
    <row r="141" ht="15" customHeight="1" s="54">
      <c r="A141" s="63" t="n">
        <v>137</v>
      </c>
      <c r="B141" s="72">
        <f>'Keyword Master'!B141</f>
        <v/>
      </c>
      <c r="C141" s="72">
        <f>'Keyword Master'!C141</f>
        <v/>
      </c>
      <c r="D141" s="72">
        <f>'Keyword Master'!M141</f>
        <v/>
      </c>
      <c r="E141" s="73">
        <f>IFERROR(LOOKUP(9.99E+307,J141:AI141),"")</f>
        <v/>
      </c>
      <c r="F141" s="63">
        <f>IFERROR(SMALL(J141:AI141,1),"")</f>
        <v/>
      </c>
      <c r="G141" s="74" t="n"/>
      <c r="H141" s="73">
        <f>IF(OR(E141="",G141=""),"",G141-E141)</f>
        <v/>
      </c>
      <c r="I141" s="63">
        <f>IF(E141="","Not tracked",IF(E141&lt;=3,"Top 3",IF(E141&lt;=10,"Page 1",IF(E141&lt;=20,"Page 2 - near win","Page 3+"))))</f>
        <v/>
      </c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</row>
    <row r="142" ht="15" customHeight="1" s="54">
      <c r="A142" s="63" t="n">
        <v>138</v>
      </c>
      <c r="B142" s="72">
        <f>'Keyword Master'!B142</f>
        <v/>
      </c>
      <c r="C142" s="72">
        <f>'Keyword Master'!C142</f>
        <v/>
      </c>
      <c r="D142" s="72">
        <f>'Keyword Master'!M142</f>
        <v/>
      </c>
      <c r="E142" s="73">
        <f>IFERROR(LOOKUP(9.99E+307,J142:AI142),"")</f>
        <v/>
      </c>
      <c r="F142" s="63">
        <f>IFERROR(SMALL(J142:AI142,1),"")</f>
        <v/>
      </c>
      <c r="G142" s="74" t="n"/>
      <c r="H142" s="73">
        <f>IF(OR(E142="",G142=""),"",G142-E142)</f>
        <v/>
      </c>
      <c r="I142" s="63">
        <f>IF(E142="","Not tracked",IF(E142&lt;=3,"Top 3",IF(E142&lt;=10,"Page 1",IF(E142&lt;=20,"Page 2 - near win","Page 3+"))))</f>
        <v/>
      </c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</row>
    <row r="143" ht="15" customHeight="1" s="54">
      <c r="A143" s="63" t="n">
        <v>139</v>
      </c>
      <c r="B143" s="72">
        <f>'Keyword Master'!B143</f>
        <v/>
      </c>
      <c r="C143" s="72">
        <f>'Keyword Master'!C143</f>
        <v/>
      </c>
      <c r="D143" s="72">
        <f>'Keyword Master'!M143</f>
        <v/>
      </c>
      <c r="E143" s="73">
        <f>IFERROR(LOOKUP(9.99E+307,J143:AI143),"")</f>
        <v/>
      </c>
      <c r="F143" s="63">
        <f>IFERROR(SMALL(J143:AI143,1),"")</f>
        <v/>
      </c>
      <c r="G143" s="74" t="n"/>
      <c r="H143" s="73">
        <f>IF(OR(E143="",G143=""),"",G143-E143)</f>
        <v/>
      </c>
      <c r="I143" s="63">
        <f>IF(E143="","Not tracked",IF(E143&lt;=3,"Top 3",IF(E143&lt;=10,"Page 1",IF(E143&lt;=20,"Page 2 - near win","Page 3+"))))</f>
        <v/>
      </c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</row>
    <row r="144" ht="15" customHeight="1" s="54">
      <c r="A144" s="63" t="n">
        <v>140</v>
      </c>
      <c r="B144" s="72">
        <f>'Keyword Master'!B144</f>
        <v/>
      </c>
      <c r="C144" s="72">
        <f>'Keyword Master'!C144</f>
        <v/>
      </c>
      <c r="D144" s="72">
        <f>'Keyword Master'!M144</f>
        <v/>
      </c>
      <c r="E144" s="73">
        <f>IFERROR(LOOKUP(9.99E+307,J144:AI144),"")</f>
        <v/>
      </c>
      <c r="F144" s="63">
        <f>IFERROR(SMALL(J144:AI144,1),"")</f>
        <v/>
      </c>
      <c r="G144" s="74" t="n"/>
      <c r="H144" s="73">
        <f>IF(OR(E144="",G144=""),"",G144-E144)</f>
        <v/>
      </c>
      <c r="I144" s="63">
        <f>IF(E144="","Not tracked",IF(E144&lt;=3,"Top 3",IF(E144&lt;=10,"Page 1",IF(E144&lt;=20,"Page 2 - near win","Page 3+"))))</f>
        <v/>
      </c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</row>
    <row r="145" ht="15" customHeight="1" s="54">
      <c r="A145" s="63" t="n">
        <v>141</v>
      </c>
      <c r="B145" s="72">
        <f>'Keyword Master'!B145</f>
        <v/>
      </c>
      <c r="C145" s="72">
        <f>'Keyword Master'!C145</f>
        <v/>
      </c>
      <c r="D145" s="72">
        <f>'Keyword Master'!M145</f>
        <v/>
      </c>
      <c r="E145" s="73">
        <f>IFERROR(LOOKUP(9.99E+307,J145:AI145),"")</f>
        <v/>
      </c>
      <c r="F145" s="63">
        <f>IFERROR(SMALL(J145:AI145,1),"")</f>
        <v/>
      </c>
      <c r="G145" s="74" t="n"/>
      <c r="H145" s="73">
        <f>IF(OR(E145="",G145=""),"",G145-E145)</f>
        <v/>
      </c>
      <c r="I145" s="63">
        <f>IF(E145="","Not tracked",IF(E145&lt;=3,"Top 3",IF(E145&lt;=10,"Page 1",IF(E145&lt;=20,"Page 2 - near win","Page 3+"))))</f>
        <v/>
      </c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</row>
    <row r="146" ht="15" customHeight="1" s="54">
      <c r="A146" s="63" t="n">
        <v>142</v>
      </c>
      <c r="B146" s="72">
        <f>'Keyword Master'!B146</f>
        <v/>
      </c>
      <c r="C146" s="72">
        <f>'Keyword Master'!C146</f>
        <v/>
      </c>
      <c r="D146" s="72">
        <f>'Keyword Master'!M146</f>
        <v/>
      </c>
      <c r="E146" s="73">
        <f>IFERROR(LOOKUP(9.99E+307,J146:AI146),"")</f>
        <v/>
      </c>
      <c r="F146" s="63">
        <f>IFERROR(SMALL(J146:AI146,1),"")</f>
        <v/>
      </c>
      <c r="G146" s="74" t="n"/>
      <c r="H146" s="73">
        <f>IF(OR(E146="",G146=""),"",G146-E146)</f>
        <v/>
      </c>
      <c r="I146" s="63">
        <f>IF(E146="","Not tracked",IF(E146&lt;=3,"Top 3",IF(E146&lt;=10,"Page 1",IF(E146&lt;=20,"Page 2 - near win","Page 3+"))))</f>
        <v/>
      </c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</row>
    <row r="147" ht="15" customHeight="1" s="54">
      <c r="A147" s="63" t="n">
        <v>143</v>
      </c>
      <c r="B147" s="72">
        <f>'Keyword Master'!B147</f>
        <v/>
      </c>
      <c r="C147" s="72">
        <f>'Keyword Master'!C147</f>
        <v/>
      </c>
      <c r="D147" s="72">
        <f>'Keyword Master'!M147</f>
        <v/>
      </c>
      <c r="E147" s="73">
        <f>IFERROR(LOOKUP(9.99E+307,J147:AI147),"")</f>
        <v/>
      </c>
      <c r="F147" s="63">
        <f>IFERROR(SMALL(J147:AI147,1),"")</f>
        <v/>
      </c>
      <c r="G147" s="74" t="n"/>
      <c r="H147" s="73">
        <f>IF(OR(E147="",G147=""),"",G147-E147)</f>
        <v/>
      </c>
      <c r="I147" s="63">
        <f>IF(E147="","Not tracked",IF(E147&lt;=3,"Top 3",IF(E147&lt;=10,"Page 1",IF(E147&lt;=20,"Page 2 - near win","Page 3+"))))</f>
        <v/>
      </c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</row>
    <row r="148" ht="15" customHeight="1" s="54">
      <c r="A148" s="63" t="n">
        <v>144</v>
      </c>
      <c r="B148" s="72">
        <f>'Keyword Master'!B148</f>
        <v/>
      </c>
      <c r="C148" s="72">
        <f>'Keyword Master'!C148</f>
        <v/>
      </c>
      <c r="D148" s="72">
        <f>'Keyword Master'!M148</f>
        <v/>
      </c>
      <c r="E148" s="73">
        <f>IFERROR(LOOKUP(9.99E+307,J148:AI148),"")</f>
        <v/>
      </c>
      <c r="F148" s="63">
        <f>IFERROR(SMALL(J148:AI148,1),"")</f>
        <v/>
      </c>
      <c r="G148" s="74" t="n"/>
      <c r="H148" s="73">
        <f>IF(OR(E148="",G148=""),"",G148-E148)</f>
        <v/>
      </c>
      <c r="I148" s="63">
        <f>IF(E148="","Not tracked",IF(E148&lt;=3,"Top 3",IF(E148&lt;=10,"Page 1",IF(E148&lt;=20,"Page 2 - near win","Page 3+"))))</f>
        <v/>
      </c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</row>
    <row r="149" ht="15" customHeight="1" s="54">
      <c r="A149" s="63" t="n">
        <v>145</v>
      </c>
      <c r="B149" s="72">
        <f>'Keyword Master'!B149</f>
        <v/>
      </c>
      <c r="C149" s="72">
        <f>'Keyword Master'!C149</f>
        <v/>
      </c>
      <c r="D149" s="72">
        <f>'Keyword Master'!M149</f>
        <v/>
      </c>
      <c r="E149" s="73">
        <f>IFERROR(LOOKUP(9.99E+307,J149:AI149),"")</f>
        <v/>
      </c>
      <c r="F149" s="63">
        <f>IFERROR(SMALL(J149:AI149,1),"")</f>
        <v/>
      </c>
      <c r="G149" s="74" t="n"/>
      <c r="H149" s="73">
        <f>IF(OR(E149="",G149=""),"",G149-E149)</f>
        <v/>
      </c>
      <c r="I149" s="63">
        <f>IF(E149="","Not tracked",IF(E149&lt;=3,"Top 3",IF(E149&lt;=10,"Page 1",IF(E149&lt;=20,"Page 2 - near win","Page 3+"))))</f>
        <v/>
      </c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</row>
    <row r="150" ht="15" customHeight="1" s="54">
      <c r="A150" s="63" t="n">
        <v>146</v>
      </c>
      <c r="B150" s="72">
        <f>'Keyword Master'!B150</f>
        <v/>
      </c>
      <c r="C150" s="72">
        <f>'Keyword Master'!C150</f>
        <v/>
      </c>
      <c r="D150" s="72">
        <f>'Keyword Master'!M150</f>
        <v/>
      </c>
      <c r="E150" s="73">
        <f>IFERROR(LOOKUP(9.99E+307,J150:AI150),"")</f>
        <v/>
      </c>
      <c r="F150" s="63">
        <f>IFERROR(SMALL(J150:AI150,1),"")</f>
        <v/>
      </c>
      <c r="G150" s="74" t="n"/>
      <c r="H150" s="73">
        <f>IF(OR(E150="",G150=""),"",G150-E150)</f>
        <v/>
      </c>
      <c r="I150" s="63">
        <f>IF(E150="","Not tracked",IF(E150&lt;=3,"Top 3",IF(E150&lt;=10,"Page 1",IF(E150&lt;=20,"Page 2 - near win","Page 3+"))))</f>
        <v/>
      </c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</row>
    <row r="151" ht="15" customHeight="1" s="54">
      <c r="A151" s="63" t="n">
        <v>147</v>
      </c>
      <c r="B151" s="72">
        <f>'Keyword Master'!B151</f>
        <v/>
      </c>
      <c r="C151" s="72">
        <f>'Keyword Master'!C151</f>
        <v/>
      </c>
      <c r="D151" s="72">
        <f>'Keyword Master'!M151</f>
        <v/>
      </c>
      <c r="E151" s="73">
        <f>IFERROR(LOOKUP(9.99E+307,J151:AI151),"")</f>
        <v/>
      </c>
      <c r="F151" s="63">
        <f>IFERROR(SMALL(J151:AI151,1),"")</f>
        <v/>
      </c>
      <c r="G151" s="74" t="n"/>
      <c r="H151" s="73">
        <f>IF(OR(E151="",G151=""),"",G151-E151)</f>
        <v/>
      </c>
      <c r="I151" s="63">
        <f>IF(E151="","Not tracked",IF(E151&lt;=3,"Top 3",IF(E151&lt;=10,"Page 1",IF(E151&lt;=20,"Page 2 - near win","Page 3+"))))</f>
        <v/>
      </c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</row>
    <row r="152" ht="15" customHeight="1" s="54">
      <c r="A152" s="63" t="n">
        <v>148</v>
      </c>
      <c r="B152" s="72">
        <f>'Keyword Master'!B152</f>
        <v/>
      </c>
      <c r="C152" s="72">
        <f>'Keyword Master'!C152</f>
        <v/>
      </c>
      <c r="D152" s="72">
        <f>'Keyword Master'!M152</f>
        <v/>
      </c>
      <c r="E152" s="73">
        <f>IFERROR(LOOKUP(9.99E+307,J152:AI152),"")</f>
        <v/>
      </c>
      <c r="F152" s="63">
        <f>IFERROR(SMALL(J152:AI152,1),"")</f>
        <v/>
      </c>
      <c r="G152" s="74" t="n"/>
      <c r="H152" s="73">
        <f>IF(OR(E152="",G152=""),"",G152-E152)</f>
        <v/>
      </c>
      <c r="I152" s="63">
        <f>IF(E152="","Not tracked",IF(E152&lt;=3,"Top 3",IF(E152&lt;=10,"Page 1",IF(E152&lt;=20,"Page 2 - near win","Page 3+"))))</f>
        <v/>
      </c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</row>
    <row r="153" ht="15" customHeight="1" s="54">
      <c r="A153" s="63" t="n">
        <v>149</v>
      </c>
      <c r="B153" s="72">
        <f>'Keyword Master'!B153</f>
        <v/>
      </c>
      <c r="C153" s="72">
        <f>'Keyword Master'!C153</f>
        <v/>
      </c>
      <c r="D153" s="72">
        <f>'Keyword Master'!M153</f>
        <v/>
      </c>
      <c r="E153" s="73">
        <f>IFERROR(LOOKUP(9.99E+307,J153:AI153),"")</f>
        <v/>
      </c>
      <c r="F153" s="63">
        <f>IFERROR(SMALL(J153:AI153,1),"")</f>
        <v/>
      </c>
      <c r="G153" s="74" t="n"/>
      <c r="H153" s="73">
        <f>IF(OR(E153="",G153=""),"",G153-E153)</f>
        <v/>
      </c>
      <c r="I153" s="63">
        <f>IF(E153="","Not tracked",IF(E153&lt;=3,"Top 3",IF(E153&lt;=10,"Page 1",IF(E153&lt;=20,"Page 2 - near win","Page 3+"))))</f>
        <v/>
      </c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</row>
    <row r="154" ht="15" customHeight="1" s="54">
      <c r="A154" s="63" t="n">
        <v>150</v>
      </c>
      <c r="B154" s="72">
        <f>'Keyword Master'!B154</f>
        <v/>
      </c>
      <c r="C154" s="72">
        <f>'Keyword Master'!C154</f>
        <v/>
      </c>
      <c r="D154" s="72">
        <f>'Keyword Master'!M154</f>
        <v/>
      </c>
      <c r="E154" s="73">
        <f>IFERROR(LOOKUP(9.99E+307,J154:AI154),"")</f>
        <v/>
      </c>
      <c r="F154" s="63">
        <f>IFERROR(SMALL(J154:AI154,1),"")</f>
        <v/>
      </c>
      <c r="G154" s="74" t="n"/>
      <c r="H154" s="73">
        <f>IF(OR(E154="",G154=""),"",G154-E154)</f>
        <v/>
      </c>
      <c r="I154" s="63">
        <f>IF(E154="","Not tracked",IF(E154&lt;=3,"Top 3",IF(E154&lt;=10,"Page 1",IF(E154&lt;=20,"Page 2 - near win","Page 3+"))))</f>
        <v/>
      </c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</row>
    <row r="155" ht="15" customHeight="1" s="54">
      <c r="A155" s="63" t="n">
        <v>151</v>
      </c>
      <c r="B155" s="72">
        <f>'Keyword Master'!B155</f>
        <v/>
      </c>
      <c r="C155" s="72">
        <f>'Keyword Master'!C155</f>
        <v/>
      </c>
      <c r="D155" s="72">
        <f>'Keyword Master'!M155</f>
        <v/>
      </c>
      <c r="E155" s="73">
        <f>IFERROR(LOOKUP(9.99E+307,J155:AI155),"")</f>
        <v/>
      </c>
      <c r="F155" s="63">
        <f>IFERROR(SMALL(J155:AI155,1),"")</f>
        <v/>
      </c>
      <c r="G155" s="74" t="n"/>
      <c r="H155" s="73">
        <f>IF(OR(E155="",G155=""),"",G155-E155)</f>
        <v/>
      </c>
      <c r="I155" s="63">
        <f>IF(E155="","Not tracked",IF(E155&lt;=3,"Top 3",IF(E155&lt;=10,"Page 1",IF(E155&lt;=20,"Page 2 - near win","Page 3+"))))</f>
        <v/>
      </c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</row>
    <row r="156" ht="15" customHeight="1" s="54">
      <c r="A156" s="63" t="n">
        <v>152</v>
      </c>
      <c r="B156" s="72">
        <f>'Keyword Master'!B156</f>
        <v/>
      </c>
      <c r="C156" s="72">
        <f>'Keyword Master'!C156</f>
        <v/>
      </c>
      <c r="D156" s="72">
        <f>'Keyword Master'!M156</f>
        <v/>
      </c>
      <c r="E156" s="73">
        <f>IFERROR(LOOKUP(9.99E+307,J156:AI156),"")</f>
        <v/>
      </c>
      <c r="F156" s="63">
        <f>IFERROR(SMALL(J156:AI156,1),"")</f>
        <v/>
      </c>
      <c r="G156" s="74" t="n"/>
      <c r="H156" s="73">
        <f>IF(OR(E156="",G156=""),"",G156-E156)</f>
        <v/>
      </c>
      <c r="I156" s="63">
        <f>IF(E156="","Not tracked",IF(E156&lt;=3,"Top 3",IF(E156&lt;=10,"Page 1",IF(E156&lt;=20,"Page 2 - near win","Page 3+"))))</f>
        <v/>
      </c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</row>
    <row r="157" ht="15" customHeight="1" s="54">
      <c r="A157" s="63" t="n">
        <v>153</v>
      </c>
      <c r="B157" s="72">
        <f>'Keyword Master'!B157</f>
        <v/>
      </c>
      <c r="C157" s="72">
        <f>'Keyword Master'!C157</f>
        <v/>
      </c>
      <c r="D157" s="72">
        <f>'Keyword Master'!M157</f>
        <v/>
      </c>
      <c r="E157" s="73">
        <f>IFERROR(LOOKUP(9.99E+307,J157:AI157),"")</f>
        <v/>
      </c>
      <c r="F157" s="63">
        <f>IFERROR(SMALL(J157:AI157,1),"")</f>
        <v/>
      </c>
      <c r="G157" s="74" t="n"/>
      <c r="H157" s="73">
        <f>IF(OR(E157="",G157=""),"",G157-E157)</f>
        <v/>
      </c>
      <c r="I157" s="63">
        <f>IF(E157="","Not tracked",IF(E157&lt;=3,"Top 3",IF(E157&lt;=10,"Page 1",IF(E157&lt;=20,"Page 2 - near win","Page 3+"))))</f>
        <v/>
      </c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</row>
    <row r="158" ht="15" customHeight="1" s="54">
      <c r="A158" s="63" t="n">
        <v>154</v>
      </c>
      <c r="B158" s="72">
        <f>'Keyword Master'!B158</f>
        <v/>
      </c>
      <c r="C158" s="72">
        <f>'Keyword Master'!C158</f>
        <v/>
      </c>
      <c r="D158" s="72">
        <f>'Keyword Master'!M158</f>
        <v/>
      </c>
      <c r="E158" s="73">
        <f>IFERROR(LOOKUP(9.99E+307,J158:AI158),"")</f>
        <v/>
      </c>
      <c r="F158" s="63">
        <f>IFERROR(SMALL(J158:AI158,1),"")</f>
        <v/>
      </c>
      <c r="G158" s="74" t="n"/>
      <c r="H158" s="73">
        <f>IF(OR(E158="",G158=""),"",G158-E158)</f>
        <v/>
      </c>
      <c r="I158" s="63">
        <f>IF(E158="","Not tracked",IF(E158&lt;=3,"Top 3",IF(E158&lt;=10,"Page 1",IF(E158&lt;=20,"Page 2 - near win","Page 3+"))))</f>
        <v/>
      </c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</row>
    <row r="159" ht="15" customHeight="1" s="54">
      <c r="A159" s="63" t="n">
        <v>155</v>
      </c>
      <c r="B159" s="72">
        <f>'Keyword Master'!B159</f>
        <v/>
      </c>
      <c r="C159" s="72">
        <f>'Keyword Master'!C159</f>
        <v/>
      </c>
      <c r="D159" s="72">
        <f>'Keyword Master'!M159</f>
        <v/>
      </c>
      <c r="E159" s="73">
        <f>IFERROR(LOOKUP(9.99E+307,J159:AI159),"")</f>
        <v/>
      </c>
      <c r="F159" s="63">
        <f>IFERROR(SMALL(J159:AI159,1),"")</f>
        <v/>
      </c>
      <c r="G159" s="74" t="n"/>
      <c r="H159" s="73">
        <f>IF(OR(E159="",G159=""),"",G159-E159)</f>
        <v/>
      </c>
      <c r="I159" s="63">
        <f>IF(E159="","Not tracked",IF(E159&lt;=3,"Top 3",IF(E159&lt;=10,"Page 1",IF(E159&lt;=20,"Page 2 - near win","Page 3+"))))</f>
        <v/>
      </c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</row>
    <row r="160" ht="15" customHeight="1" s="54">
      <c r="A160" s="63" t="n">
        <v>156</v>
      </c>
      <c r="B160" s="72">
        <f>'Keyword Master'!B160</f>
        <v/>
      </c>
      <c r="C160" s="72">
        <f>'Keyword Master'!C160</f>
        <v/>
      </c>
      <c r="D160" s="72">
        <f>'Keyword Master'!M160</f>
        <v/>
      </c>
      <c r="E160" s="73">
        <f>IFERROR(LOOKUP(9.99E+307,J160:AI160),"")</f>
        <v/>
      </c>
      <c r="F160" s="63">
        <f>IFERROR(SMALL(J160:AI160,1),"")</f>
        <v/>
      </c>
      <c r="G160" s="74" t="n"/>
      <c r="H160" s="73">
        <f>IF(OR(E160="",G160=""),"",G160-E160)</f>
        <v/>
      </c>
      <c r="I160" s="63">
        <f>IF(E160="","Not tracked",IF(E160&lt;=3,"Top 3",IF(E160&lt;=10,"Page 1",IF(E160&lt;=20,"Page 2 - near win","Page 3+"))))</f>
        <v/>
      </c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</row>
    <row r="161" ht="15" customHeight="1" s="54">
      <c r="A161" s="63" t="n">
        <v>157</v>
      </c>
      <c r="B161" s="72">
        <f>'Keyword Master'!B161</f>
        <v/>
      </c>
      <c r="C161" s="72">
        <f>'Keyword Master'!C161</f>
        <v/>
      </c>
      <c r="D161" s="72">
        <f>'Keyword Master'!M161</f>
        <v/>
      </c>
      <c r="E161" s="73">
        <f>IFERROR(LOOKUP(9.99E+307,J161:AI161),"")</f>
        <v/>
      </c>
      <c r="F161" s="63">
        <f>IFERROR(SMALL(J161:AI161,1),"")</f>
        <v/>
      </c>
      <c r="G161" s="74" t="n"/>
      <c r="H161" s="73">
        <f>IF(OR(E161="",G161=""),"",G161-E161)</f>
        <v/>
      </c>
      <c r="I161" s="63">
        <f>IF(E161="","Not tracked",IF(E161&lt;=3,"Top 3",IF(E161&lt;=10,"Page 1",IF(E161&lt;=20,"Page 2 - near win","Page 3+"))))</f>
        <v/>
      </c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</row>
    <row r="162" ht="15" customHeight="1" s="54">
      <c r="A162" s="63" t="n">
        <v>158</v>
      </c>
      <c r="B162" s="72">
        <f>'Keyword Master'!B162</f>
        <v/>
      </c>
      <c r="C162" s="72">
        <f>'Keyword Master'!C162</f>
        <v/>
      </c>
      <c r="D162" s="72">
        <f>'Keyword Master'!M162</f>
        <v/>
      </c>
      <c r="E162" s="73">
        <f>IFERROR(LOOKUP(9.99E+307,J162:AI162),"")</f>
        <v/>
      </c>
      <c r="F162" s="63">
        <f>IFERROR(SMALL(J162:AI162,1),"")</f>
        <v/>
      </c>
      <c r="G162" s="74" t="n"/>
      <c r="H162" s="73">
        <f>IF(OR(E162="",G162=""),"",G162-E162)</f>
        <v/>
      </c>
      <c r="I162" s="63">
        <f>IF(E162="","Not tracked",IF(E162&lt;=3,"Top 3",IF(E162&lt;=10,"Page 1",IF(E162&lt;=20,"Page 2 - near win","Page 3+"))))</f>
        <v/>
      </c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</row>
    <row r="163" ht="15" customHeight="1" s="54">
      <c r="A163" s="63" t="n">
        <v>159</v>
      </c>
      <c r="B163" s="72">
        <f>'Keyword Master'!B163</f>
        <v/>
      </c>
      <c r="C163" s="72">
        <f>'Keyword Master'!C163</f>
        <v/>
      </c>
      <c r="D163" s="72">
        <f>'Keyword Master'!M163</f>
        <v/>
      </c>
      <c r="E163" s="73">
        <f>IFERROR(LOOKUP(9.99E+307,J163:AI163),"")</f>
        <v/>
      </c>
      <c r="F163" s="63">
        <f>IFERROR(SMALL(J163:AI163,1),"")</f>
        <v/>
      </c>
      <c r="G163" s="74" t="n"/>
      <c r="H163" s="73">
        <f>IF(OR(E163="",G163=""),"",G163-E163)</f>
        <v/>
      </c>
      <c r="I163" s="63">
        <f>IF(E163="","Not tracked",IF(E163&lt;=3,"Top 3",IF(E163&lt;=10,"Page 1",IF(E163&lt;=20,"Page 2 - near win","Page 3+"))))</f>
        <v/>
      </c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</row>
    <row r="164" ht="15" customHeight="1" s="54">
      <c r="A164" s="63" t="n">
        <v>160</v>
      </c>
      <c r="B164" s="72">
        <f>'Keyword Master'!B164</f>
        <v/>
      </c>
      <c r="C164" s="72">
        <f>'Keyword Master'!C164</f>
        <v/>
      </c>
      <c r="D164" s="72">
        <f>'Keyword Master'!M164</f>
        <v/>
      </c>
      <c r="E164" s="73">
        <f>IFERROR(LOOKUP(9.99E+307,J164:AI164),"")</f>
        <v/>
      </c>
      <c r="F164" s="63">
        <f>IFERROR(SMALL(J164:AI164,1),"")</f>
        <v/>
      </c>
      <c r="G164" s="74" t="n"/>
      <c r="H164" s="73">
        <f>IF(OR(E164="",G164=""),"",G164-E164)</f>
        <v/>
      </c>
      <c r="I164" s="63">
        <f>IF(E164="","Not tracked",IF(E164&lt;=3,"Top 3",IF(E164&lt;=10,"Page 1",IF(E164&lt;=20,"Page 2 - near win","Page 3+"))))</f>
        <v/>
      </c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</row>
    <row r="165" ht="15" customHeight="1" s="54">
      <c r="A165" s="63" t="n">
        <v>161</v>
      </c>
      <c r="B165" s="72">
        <f>'Keyword Master'!B165</f>
        <v/>
      </c>
      <c r="C165" s="72">
        <f>'Keyword Master'!C165</f>
        <v/>
      </c>
      <c r="D165" s="72">
        <f>'Keyword Master'!M165</f>
        <v/>
      </c>
      <c r="E165" s="73">
        <f>IFERROR(LOOKUP(9.99E+307,J165:AI165),"")</f>
        <v/>
      </c>
      <c r="F165" s="63">
        <f>IFERROR(SMALL(J165:AI165,1),"")</f>
        <v/>
      </c>
      <c r="G165" s="74" t="n"/>
      <c r="H165" s="73">
        <f>IF(OR(E165="",G165=""),"",G165-E165)</f>
        <v/>
      </c>
      <c r="I165" s="63">
        <f>IF(E165="","Not tracked",IF(E165&lt;=3,"Top 3",IF(E165&lt;=10,"Page 1",IF(E165&lt;=20,"Page 2 - near win","Page 3+"))))</f>
        <v/>
      </c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</row>
    <row r="166" ht="15" customHeight="1" s="54">
      <c r="A166" s="63" t="n">
        <v>162</v>
      </c>
      <c r="B166" s="72">
        <f>'Keyword Master'!B166</f>
        <v/>
      </c>
      <c r="C166" s="72">
        <f>'Keyword Master'!C166</f>
        <v/>
      </c>
      <c r="D166" s="72">
        <f>'Keyword Master'!M166</f>
        <v/>
      </c>
      <c r="E166" s="73">
        <f>IFERROR(LOOKUP(9.99E+307,J166:AI166),"")</f>
        <v/>
      </c>
      <c r="F166" s="63">
        <f>IFERROR(SMALL(J166:AI166,1),"")</f>
        <v/>
      </c>
      <c r="G166" s="74" t="n"/>
      <c r="H166" s="73">
        <f>IF(OR(E166="",G166=""),"",G166-E166)</f>
        <v/>
      </c>
      <c r="I166" s="63">
        <f>IF(E166="","Not tracked",IF(E166&lt;=3,"Top 3",IF(E166&lt;=10,"Page 1",IF(E166&lt;=20,"Page 2 - near win","Page 3+"))))</f>
        <v/>
      </c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  <c r="AA166" s="75" t="n"/>
      <c r="AB166" s="75" t="n"/>
      <c r="AC166" s="75" t="n"/>
      <c r="AD166" s="75" t="n"/>
      <c r="AE166" s="75" t="n"/>
      <c r="AF166" s="75" t="n"/>
      <c r="AG166" s="75" t="n"/>
      <c r="AH166" s="75" t="n"/>
      <c r="AI166" s="75" t="n"/>
    </row>
    <row r="167" ht="15" customHeight="1" s="54">
      <c r="A167" s="63" t="n">
        <v>163</v>
      </c>
      <c r="B167" s="72">
        <f>'Keyword Master'!B167</f>
        <v/>
      </c>
      <c r="C167" s="72">
        <f>'Keyword Master'!C167</f>
        <v/>
      </c>
      <c r="D167" s="72">
        <f>'Keyword Master'!M167</f>
        <v/>
      </c>
      <c r="E167" s="73">
        <f>IFERROR(LOOKUP(9.99E+307,J167:AI167),"")</f>
        <v/>
      </c>
      <c r="F167" s="63">
        <f>IFERROR(SMALL(J167:AI167,1),"")</f>
        <v/>
      </c>
      <c r="G167" s="74" t="n"/>
      <c r="H167" s="73">
        <f>IF(OR(E167="",G167=""),"",G167-E167)</f>
        <v/>
      </c>
      <c r="I167" s="63">
        <f>IF(E167="","Not tracked",IF(E167&lt;=3,"Top 3",IF(E167&lt;=10,"Page 1",IF(E167&lt;=20,"Page 2 - near win","Page 3+"))))</f>
        <v/>
      </c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  <c r="AA167" s="75" t="n"/>
      <c r="AB167" s="75" t="n"/>
      <c r="AC167" s="75" t="n"/>
      <c r="AD167" s="75" t="n"/>
      <c r="AE167" s="75" t="n"/>
      <c r="AF167" s="75" t="n"/>
      <c r="AG167" s="75" t="n"/>
      <c r="AH167" s="75" t="n"/>
      <c r="AI167" s="75" t="n"/>
    </row>
    <row r="168" ht="15" customHeight="1" s="54">
      <c r="A168" s="63" t="n">
        <v>164</v>
      </c>
      <c r="B168" s="72">
        <f>'Keyword Master'!B168</f>
        <v/>
      </c>
      <c r="C168" s="72">
        <f>'Keyword Master'!C168</f>
        <v/>
      </c>
      <c r="D168" s="72">
        <f>'Keyword Master'!M168</f>
        <v/>
      </c>
      <c r="E168" s="73">
        <f>IFERROR(LOOKUP(9.99E+307,J168:AI168),"")</f>
        <v/>
      </c>
      <c r="F168" s="63">
        <f>IFERROR(SMALL(J168:AI168,1),"")</f>
        <v/>
      </c>
      <c r="G168" s="74" t="n"/>
      <c r="H168" s="73">
        <f>IF(OR(E168="",G168=""),"",G168-E168)</f>
        <v/>
      </c>
      <c r="I168" s="63">
        <f>IF(E168="","Not tracked",IF(E168&lt;=3,"Top 3",IF(E168&lt;=10,"Page 1",IF(E168&lt;=20,"Page 2 - near win","Page 3+"))))</f>
        <v/>
      </c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</row>
    <row r="169" ht="15" customHeight="1" s="54">
      <c r="A169" s="63" t="n">
        <v>165</v>
      </c>
      <c r="B169" s="72">
        <f>'Keyword Master'!B169</f>
        <v/>
      </c>
      <c r="C169" s="72">
        <f>'Keyword Master'!C169</f>
        <v/>
      </c>
      <c r="D169" s="72">
        <f>'Keyword Master'!M169</f>
        <v/>
      </c>
      <c r="E169" s="73">
        <f>IFERROR(LOOKUP(9.99E+307,J169:AI169),"")</f>
        <v/>
      </c>
      <c r="F169" s="63">
        <f>IFERROR(SMALL(J169:AI169,1),"")</f>
        <v/>
      </c>
      <c r="G169" s="74" t="n"/>
      <c r="H169" s="73">
        <f>IF(OR(E169="",G169=""),"",G169-E169)</f>
        <v/>
      </c>
      <c r="I169" s="63">
        <f>IF(E169="","Not tracked",IF(E169&lt;=3,"Top 3",IF(E169&lt;=10,"Page 1",IF(E169&lt;=20,"Page 2 - near win","Page 3+"))))</f>
        <v/>
      </c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</row>
    <row r="170" ht="15" customHeight="1" s="54">
      <c r="A170" s="63" t="n">
        <v>166</v>
      </c>
      <c r="B170" s="72">
        <f>'Keyword Master'!B170</f>
        <v/>
      </c>
      <c r="C170" s="72">
        <f>'Keyword Master'!C170</f>
        <v/>
      </c>
      <c r="D170" s="72">
        <f>'Keyword Master'!M170</f>
        <v/>
      </c>
      <c r="E170" s="73">
        <f>IFERROR(LOOKUP(9.99E+307,J170:AI170),"")</f>
        <v/>
      </c>
      <c r="F170" s="63">
        <f>IFERROR(SMALL(J170:AI170,1),"")</f>
        <v/>
      </c>
      <c r="G170" s="74" t="n"/>
      <c r="H170" s="73">
        <f>IF(OR(E170="",G170=""),"",G170-E170)</f>
        <v/>
      </c>
      <c r="I170" s="63">
        <f>IF(E170="","Not tracked",IF(E170&lt;=3,"Top 3",IF(E170&lt;=10,"Page 1",IF(E170&lt;=20,"Page 2 - near win","Page 3+"))))</f>
        <v/>
      </c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</row>
    <row r="171" ht="15" customHeight="1" s="54">
      <c r="A171" s="63" t="n">
        <v>167</v>
      </c>
      <c r="B171" s="72">
        <f>'Keyword Master'!B171</f>
        <v/>
      </c>
      <c r="C171" s="72">
        <f>'Keyword Master'!C171</f>
        <v/>
      </c>
      <c r="D171" s="72">
        <f>'Keyword Master'!M171</f>
        <v/>
      </c>
      <c r="E171" s="73">
        <f>IFERROR(LOOKUP(9.99E+307,J171:AI171),"")</f>
        <v/>
      </c>
      <c r="F171" s="63">
        <f>IFERROR(SMALL(J171:AI171,1),"")</f>
        <v/>
      </c>
      <c r="G171" s="74" t="n"/>
      <c r="H171" s="73">
        <f>IF(OR(E171="",G171=""),"",G171-E171)</f>
        <v/>
      </c>
      <c r="I171" s="63">
        <f>IF(E171="","Not tracked",IF(E171&lt;=3,"Top 3",IF(E171&lt;=10,"Page 1",IF(E171&lt;=20,"Page 2 - near win","Page 3+"))))</f>
        <v/>
      </c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</row>
    <row r="172" ht="15" customHeight="1" s="54">
      <c r="A172" s="63" t="n">
        <v>168</v>
      </c>
      <c r="B172" s="72">
        <f>'Keyword Master'!B172</f>
        <v/>
      </c>
      <c r="C172" s="72">
        <f>'Keyword Master'!C172</f>
        <v/>
      </c>
      <c r="D172" s="72">
        <f>'Keyword Master'!M172</f>
        <v/>
      </c>
      <c r="E172" s="73">
        <f>IFERROR(LOOKUP(9.99E+307,J172:AI172),"")</f>
        <v/>
      </c>
      <c r="F172" s="63">
        <f>IFERROR(SMALL(J172:AI172,1),"")</f>
        <v/>
      </c>
      <c r="G172" s="74" t="n"/>
      <c r="H172" s="73">
        <f>IF(OR(E172="",G172=""),"",G172-E172)</f>
        <v/>
      </c>
      <c r="I172" s="63">
        <f>IF(E172="","Not tracked",IF(E172&lt;=3,"Top 3",IF(E172&lt;=10,"Page 1",IF(E172&lt;=20,"Page 2 - near win","Page 3+"))))</f>
        <v/>
      </c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</row>
    <row r="173" ht="15" customHeight="1" s="54">
      <c r="A173" s="63" t="n">
        <v>169</v>
      </c>
      <c r="B173" s="72">
        <f>'Keyword Master'!B173</f>
        <v/>
      </c>
      <c r="C173" s="72">
        <f>'Keyword Master'!C173</f>
        <v/>
      </c>
      <c r="D173" s="72">
        <f>'Keyword Master'!M173</f>
        <v/>
      </c>
      <c r="E173" s="73">
        <f>IFERROR(LOOKUP(9.99E+307,J173:AI173),"")</f>
        <v/>
      </c>
      <c r="F173" s="63">
        <f>IFERROR(SMALL(J173:AI173,1),"")</f>
        <v/>
      </c>
      <c r="G173" s="74" t="n"/>
      <c r="H173" s="73">
        <f>IF(OR(E173="",G173=""),"",G173-E173)</f>
        <v/>
      </c>
      <c r="I173" s="63">
        <f>IF(E173="","Not tracked",IF(E173&lt;=3,"Top 3",IF(E173&lt;=10,"Page 1",IF(E173&lt;=20,"Page 2 - near win","Page 3+"))))</f>
        <v/>
      </c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</row>
    <row r="174" ht="15" customHeight="1" s="54">
      <c r="A174" s="63" t="n">
        <v>170</v>
      </c>
      <c r="B174" s="72">
        <f>'Keyword Master'!B174</f>
        <v/>
      </c>
      <c r="C174" s="72">
        <f>'Keyword Master'!C174</f>
        <v/>
      </c>
      <c r="D174" s="72">
        <f>'Keyword Master'!M174</f>
        <v/>
      </c>
      <c r="E174" s="73">
        <f>IFERROR(LOOKUP(9.99E+307,J174:AI174),"")</f>
        <v/>
      </c>
      <c r="F174" s="63">
        <f>IFERROR(SMALL(J174:AI174,1),"")</f>
        <v/>
      </c>
      <c r="G174" s="74" t="n"/>
      <c r="H174" s="73">
        <f>IF(OR(E174="",G174=""),"",G174-E174)</f>
        <v/>
      </c>
      <c r="I174" s="63">
        <f>IF(E174="","Not tracked",IF(E174&lt;=3,"Top 3",IF(E174&lt;=10,"Page 1",IF(E174&lt;=20,"Page 2 - near win","Page 3+"))))</f>
        <v/>
      </c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</row>
    <row r="175" ht="15" customHeight="1" s="54">
      <c r="A175" s="63" t="n">
        <v>171</v>
      </c>
      <c r="B175" s="72">
        <f>'Keyword Master'!B175</f>
        <v/>
      </c>
      <c r="C175" s="72">
        <f>'Keyword Master'!C175</f>
        <v/>
      </c>
      <c r="D175" s="72">
        <f>'Keyword Master'!M175</f>
        <v/>
      </c>
      <c r="E175" s="73">
        <f>IFERROR(LOOKUP(9.99E+307,J175:AI175),"")</f>
        <v/>
      </c>
      <c r="F175" s="63">
        <f>IFERROR(SMALL(J175:AI175,1),"")</f>
        <v/>
      </c>
      <c r="G175" s="74" t="n"/>
      <c r="H175" s="73">
        <f>IF(OR(E175="",G175=""),"",G175-E175)</f>
        <v/>
      </c>
      <c r="I175" s="63">
        <f>IF(E175="","Not tracked",IF(E175&lt;=3,"Top 3",IF(E175&lt;=10,"Page 1",IF(E175&lt;=20,"Page 2 - near win","Page 3+"))))</f>
        <v/>
      </c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</row>
    <row r="176" ht="15" customHeight="1" s="54">
      <c r="A176" s="63" t="n">
        <v>172</v>
      </c>
      <c r="B176" s="72">
        <f>'Keyword Master'!B176</f>
        <v/>
      </c>
      <c r="C176" s="72">
        <f>'Keyword Master'!C176</f>
        <v/>
      </c>
      <c r="D176" s="72">
        <f>'Keyword Master'!M176</f>
        <v/>
      </c>
      <c r="E176" s="73">
        <f>IFERROR(LOOKUP(9.99E+307,J176:AI176),"")</f>
        <v/>
      </c>
      <c r="F176" s="63">
        <f>IFERROR(SMALL(J176:AI176,1),"")</f>
        <v/>
      </c>
      <c r="G176" s="74" t="n"/>
      <c r="H176" s="73">
        <f>IF(OR(E176="",G176=""),"",G176-E176)</f>
        <v/>
      </c>
      <c r="I176" s="63">
        <f>IF(E176="","Not tracked",IF(E176&lt;=3,"Top 3",IF(E176&lt;=10,"Page 1",IF(E176&lt;=20,"Page 2 - near win","Page 3+"))))</f>
        <v/>
      </c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</row>
    <row r="177" ht="15" customHeight="1" s="54">
      <c r="A177" s="63" t="n">
        <v>173</v>
      </c>
      <c r="B177" s="72">
        <f>'Keyword Master'!B177</f>
        <v/>
      </c>
      <c r="C177" s="72">
        <f>'Keyword Master'!C177</f>
        <v/>
      </c>
      <c r="D177" s="72">
        <f>'Keyword Master'!M177</f>
        <v/>
      </c>
      <c r="E177" s="73">
        <f>IFERROR(LOOKUP(9.99E+307,J177:AI177),"")</f>
        <v/>
      </c>
      <c r="F177" s="63">
        <f>IFERROR(SMALL(J177:AI177,1),"")</f>
        <v/>
      </c>
      <c r="G177" s="74" t="n"/>
      <c r="H177" s="73">
        <f>IF(OR(E177="",G177=""),"",G177-E177)</f>
        <v/>
      </c>
      <c r="I177" s="63">
        <f>IF(E177="","Not tracked",IF(E177&lt;=3,"Top 3",IF(E177&lt;=10,"Page 1",IF(E177&lt;=20,"Page 2 - near win","Page 3+"))))</f>
        <v/>
      </c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</row>
    <row r="178" ht="15" customHeight="1" s="54">
      <c r="A178" s="63" t="n">
        <v>174</v>
      </c>
      <c r="B178" s="72">
        <f>'Keyword Master'!B178</f>
        <v/>
      </c>
      <c r="C178" s="72">
        <f>'Keyword Master'!C178</f>
        <v/>
      </c>
      <c r="D178" s="72">
        <f>'Keyword Master'!M178</f>
        <v/>
      </c>
      <c r="E178" s="73">
        <f>IFERROR(LOOKUP(9.99E+307,J178:AI178),"")</f>
        <v/>
      </c>
      <c r="F178" s="63">
        <f>IFERROR(SMALL(J178:AI178,1),"")</f>
        <v/>
      </c>
      <c r="G178" s="74" t="n"/>
      <c r="H178" s="73">
        <f>IF(OR(E178="",G178=""),"",G178-E178)</f>
        <v/>
      </c>
      <c r="I178" s="63">
        <f>IF(E178="","Not tracked",IF(E178&lt;=3,"Top 3",IF(E178&lt;=10,"Page 1",IF(E178&lt;=20,"Page 2 - near win","Page 3+"))))</f>
        <v/>
      </c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/>
      <c r="AC178" s="75" t="n"/>
      <c r="AD178" s="75" t="n"/>
      <c r="AE178" s="75" t="n"/>
      <c r="AF178" s="75" t="n"/>
      <c r="AG178" s="75" t="n"/>
      <c r="AH178" s="75" t="n"/>
      <c r="AI178" s="75" t="n"/>
    </row>
    <row r="179" ht="15" customHeight="1" s="54">
      <c r="A179" s="63" t="n">
        <v>175</v>
      </c>
      <c r="B179" s="72">
        <f>'Keyword Master'!B179</f>
        <v/>
      </c>
      <c r="C179" s="72">
        <f>'Keyword Master'!C179</f>
        <v/>
      </c>
      <c r="D179" s="72">
        <f>'Keyword Master'!M179</f>
        <v/>
      </c>
      <c r="E179" s="73">
        <f>IFERROR(LOOKUP(9.99E+307,J179:AI179),"")</f>
        <v/>
      </c>
      <c r="F179" s="63">
        <f>IFERROR(SMALL(J179:AI179,1),"")</f>
        <v/>
      </c>
      <c r="G179" s="74" t="n"/>
      <c r="H179" s="73">
        <f>IF(OR(E179="",G179=""),"",G179-E179)</f>
        <v/>
      </c>
      <c r="I179" s="63">
        <f>IF(E179="","Not tracked",IF(E179&lt;=3,"Top 3",IF(E179&lt;=10,"Page 1",IF(E179&lt;=20,"Page 2 - near win","Page 3+"))))</f>
        <v/>
      </c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</row>
    <row r="180" ht="15" customHeight="1" s="54">
      <c r="A180" s="63" t="n">
        <v>176</v>
      </c>
      <c r="B180" s="72">
        <f>'Keyword Master'!B180</f>
        <v/>
      </c>
      <c r="C180" s="72">
        <f>'Keyword Master'!C180</f>
        <v/>
      </c>
      <c r="D180" s="72">
        <f>'Keyword Master'!M180</f>
        <v/>
      </c>
      <c r="E180" s="73">
        <f>IFERROR(LOOKUP(9.99E+307,J180:AI180),"")</f>
        <v/>
      </c>
      <c r="F180" s="63">
        <f>IFERROR(SMALL(J180:AI180,1),"")</f>
        <v/>
      </c>
      <c r="G180" s="74" t="n"/>
      <c r="H180" s="73">
        <f>IF(OR(E180="",G180=""),"",G180-E180)</f>
        <v/>
      </c>
      <c r="I180" s="63">
        <f>IF(E180="","Not tracked",IF(E180&lt;=3,"Top 3",IF(E180&lt;=10,"Page 1",IF(E180&lt;=20,"Page 2 - near win","Page 3+"))))</f>
        <v/>
      </c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</row>
    <row r="181" ht="15" customHeight="1" s="54">
      <c r="A181" s="63" t="n">
        <v>177</v>
      </c>
      <c r="B181" s="72">
        <f>'Keyword Master'!B181</f>
        <v/>
      </c>
      <c r="C181" s="72">
        <f>'Keyword Master'!C181</f>
        <v/>
      </c>
      <c r="D181" s="72">
        <f>'Keyword Master'!M181</f>
        <v/>
      </c>
      <c r="E181" s="73">
        <f>IFERROR(LOOKUP(9.99E+307,J181:AI181),"")</f>
        <v/>
      </c>
      <c r="F181" s="63">
        <f>IFERROR(SMALL(J181:AI181,1),"")</f>
        <v/>
      </c>
      <c r="G181" s="74" t="n"/>
      <c r="H181" s="73">
        <f>IF(OR(E181="",G181=""),"",G181-E181)</f>
        <v/>
      </c>
      <c r="I181" s="63">
        <f>IF(E181="","Not tracked",IF(E181&lt;=3,"Top 3",IF(E181&lt;=10,"Page 1",IF(E181&lt;=20,"Page 2 - near win","Page 3+"))))</f>
        <v/>
      </c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</row>
    <row r="182" ht="15" customHeight="1" s="54">
      <c r="A182" s="63" t="n">
        <v>178</v>
      </c>
      <c r="B182" s="72">
        <f>'Keyword Master'!B182</f>
        <v/>
      </c>
      <c r="C182" s="72">
        <f>'Keyword Master'!C182</f>
        <v/>
      </c>
      <c r="D182" s="72">
        <f>'Keyword Master'!M182</f>
        <v/>
      </c>
      <c r="E182" s="73">
        <f>IFERROR(LOOKUP(9.99E+307,J182:AI182),"")</f>
        <v/>
      </c>
      <c r="F182" s="63">
        <f>IFERROR(SMALL(J182:AI182,1),"")</f>
        <v/>
      </c>
      <c r="G182" s="74" t="n"/>
      <c r="H182" s="73">
        <f>IF(OR(E182="",G182=""),"",G182-E182)</f>
        <v/>
      </c>
      <c r="I182" s="63">
        <f>IF(E182="","Not tracked",IF(E182&lt;=3,"Top 3",IF(E182&lt;=10,"Page 1",IF(E182&lt;=20,"Page 2 - near win","Page 3+"))))</f>
        <v/>
      </c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/>
      <c r="AC182" s="75" t="n"/>
      <c r="AD182" s="75" t="n"/>
      <c r="AE182" s="75" t="n"/>
      <c r="AF182" s="75" t="n"/>
      <c r="AG182" s="75" t="n"/>
      <c r="AH182" s="75" t="n"/>
      <c r="AI182" s="75" t="n"/>
    </row>
    <row r="183" ht="15" customHeight="1" s="54">
      <c r="A183" s="63" t="n">
        <v>179</v>
      </c>
      <c r="B183" s="72">
        <f>'Keyword Master'!B183</f>
        <v/>
      </c>
      <c r="C183" s="72">
        <f>'Keyword Master'!C183</f>
        <v/>
      </c>
      <c r="D183" s="72">
        <f>'Keyword Master'!M183</f>
        <v/>
      </c>
      <c r="E183" s="73">
        <f>IFERROR(LOOKUP(9.99E+307,J183:AI183),"")</f>
        <v/>
      </c>
      <c r="F183" s="63">
        <f>IFERROR(SMALL(J183:AI183,1),"")</f>
        <v/>
      </c>
      <c r="G183" s="74" t="n"/>
      <c r="H183" s="73">
        <f>IF(OR(E183="",G183=""),"",G183-E183)</f>
        <v/>
      </c>
      <c r="I183" s="63">
        <f>IF(E183="","Not tracked",IF(E183&lt;=3,"Top 3",IF(E183&lt;=10,"Page 1",IF(E183&lt;=20,"Page 2 - near win","Page 3+"))))</f>
        <v/>
      </c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</row>
    <row r="184" ht="15" customHeight="1" s="54">
      <c r="A184" s="63" t="n">
        <v>180</v>
      </c>
      <c r="B184" s="72">
        <f>'Keyword Master'!B184</f>
        <v/>
      </c>
      <c r="C184" s="72">
        <f>'Keyword Master'!C184</f>
        <v/>
      </c>
      <c r="D184" s="72">
        <f>'Keyword Master'!M184</f>
        <v/>
      </c>
      <c r="E184" s="73">
        <f>IFERROR(LOOKUP(9.99E+307,J184:AI184),"")</f>
        <v/>
      </c>
      <c r="F184" s="63">
        <f>IFERROR(SMALL(J184:AI184,1),"")</f>
        <v/>
      </c>
      <c r="G184" s="74" t="n"/>
      <c r="H184" s="73">
        <f>IF(OR(E184="",G184=""),"",G184-E184)</f>
        <v/>
      </c>
      <c r="I184" s="63">
        <f>IF(E184="","Not tracked",IF(E184&lt;=3,"Top 3",IF(E184&lt;=10,"Page 1",IF(E184&lt;=20,"Page 2 - near win","Page 3+"))))</f>
        <v/>
      </c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  <c r="AA184" s="75" t="n"/>
      <c r="AB184" s="75" t="n"/>
      <c r="AC184" s="75" t="n"/>
      <c r="AD184" s="75" t="n"/>
      <c r="AE184" s="75" t="n"/>
      <c r="AF184" s="75" t="n"/>
      <c r="AG184" s="75" t="n"/>
      <c r="AH184" s="75" t="n"/>
      <c r="AI184" s="75" t="n"/>
    </row>
    <row r="185" ht="15" customHeight="1" s="54">
      <c r="A185" s="63" t="n">
        <v>181</v>
      </c>
      <c r="B185" s="72">
        <f>'Keyword Master'!B185</f>
        <v/>
      </c>
      <c r="C185" s="72">
        <f>'Keyword Master'!C185</f>
        <v/>
      </c>
      <c r="D185" s="72">
        <f>'Keyword Master'!M185</f>
        <v/>
      </c>
      <c r="E185" s="73">
        <f>IFERROR(LOOKUP(9.99E+307,J185:AI185),"")</f>
        <v/>
      </c>
      <c r="F185" s="63">
        <f>IFERROR(SMALL(J185:AI185,1),"")</f>
        <v/>
      </c>
      <c r="G185" s="74" t="n"/>
      <c r="H185" s="73">
        <f>IF(OR(E185="",G185=""),"",G185-E185)</f>
        <v/>
      </c>
      <c r="I185" s="63">
        <f>IF(E185="","Not tracked",IF(E185&lt;=3,"Top 3",IF(E185&lt;=10,"Page 1",IF(E185&lt;=20,"Page 2 - near win","Page 3+"))))</f>
        <v/>
      </c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</row>
    <row r="186" ht="15" customHeight="1" s="54">
      <c r="A186" s="63" t="n">
        <v>182</v>
      </c>
      <c r="B186" s="72">
        <f>'Keyword Master'!B186</f>
        <v/>
      </c>
      <c r="C186" s="72">
        <f>'Keyword Master'!C186</f>
        <v/>
      </c>
      <c r="D186" s="72">
        <f>'Keyword Master'!M186</f>
        <v/>
      </c>
      <c r="E186" s="73">
        <f>IFERROR(LOOKUP(9.99E+307,J186:AI186),"")</f>
        <v/>
      </c>
      <c r="F186" s="63">
        <f>IFERROR(SMALL(J186:AI186,1),"")</f>
        <v/>
      </c>
      <c r="G186" s="74" t="n"/>
      <c r="H186" s="73">
        <f>IF(OR(E186="",G186=""),"",G186-E186)</f>
        <v/>
      </c>
      <c r="I186" s="63">
        <f>IF(E186="","Not tracked",IF(E186&lt;=3,"Top 3",IF(E186&lt;=10,"Page 1",IF(E186&lt;=20,"Page 2 - near win","Page 3+"))))</f>
        <v/>
      </c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  <c r="AA186" s="75" t="n"/>
      <c r="AB186" s="75" t="n"/>
      <c r="AC186" s="75" t="n"/>
      <c r="AD186" s="75" t="n"/>
      <c r="AE186" s="75" t="n"/>
      <c r="AF186" s="75" t="n"/>
      <c r="AG186" s="75" t="n"/>
      <c r="AH186" s="75" t="n"/>
      <c r="AI186" s="75" t="n"/>
    </row>
    <row r="187" ht="15" customHeight="1" s="54">
      <c r="A187" s="63" t="n">
        <v>183</v>
      </c>
      <c r="B187" s="72">
        <f>'Keyword Master'!B187</f>
        <v/>
      </c>
      <c r="C187" s="72">
        <f>'Keyword Master'!C187</f>
        <v/>
      </c>
      <c r="D187" s="72">
        <f>'Keyword Master'!M187</f>
        <v/>
      </c>
      <c r="E187" s="73">
        <f>IFERROR(LOOKUP(9.99E+307,J187:AI187),"")</f>
        <v/>
      </c>
      <c r="F187" s="63">
        <f>IFERROR(SMALL(J187:AI187,1),"")</f>
        <v/>
      </c>
      <c r="G187" s="74" t="n"/>
      <c r="H187" s="73">
        <f>IF(OR(E187="",G187=""),"",G187-E187)</f>
        <v/>
      </c>
      <c r="I187" s="63">
        <f>IF(E187="","Not tracked",IF(E187&lt;=3,"Top 3",IF(E187&lt;=10,"Page 1",IF(E187&lt;=20,"Page 2 - near win","Page 3+"))))</f>
        <v/>
      </c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</row>
    <row r="188" ht="15" customHeight="1" s="54">
      <c r="A188" s="63" t="n">
        <v>184</v>
      </c>
      <c r="B188" s="72">
        <f>'Keyword Master'!B188</f>
        <v/>
      </c>
      <c r="C188" s="72">
        <f>'Keyword Master'!C188</f>
        <v/>
      </c>
      <c r="D188" s="72">
        <f>'Keyword Master'!M188</f>
        <v/>
      </c>
      <c r="E188" s="73">
        <f>IFERROR(LOOKUP(9.99E+307,J188:AI188),"")</f>
        <v/>
      </c>
      <c r="F188" s="63">
        <f>IFERROR(SMALL(J188:AI188,1),"")</f>
        <v/>
      </c>
      <c r="G188" s="74" t="n"/>
      <c r="H188" s="73">
        <f>IF(OR(E188="",G188=""),"",G188-E188)</f>
        <v/>
      </c>
      <c r="I188" s="63">
        <f>IF(E188="","Not tracked",IF(E188&lt;=3,"Top 3",IF(E188&lt;=10,"Page 1",IF(E188&lt;=20,"Page 2 - near win","Page 3+"))))</f>
        <v/>
      </c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/>
    </row>
    <row r="189" ht="15" customHeight="1" s="54">
      <c r="A189" s="63" t="n">
        <v>185</v>
      </c>
      <c r="B189" s="72">
        <f>'Keyword Master'!B189</f>
        <v/>
      </c>
      <c r="C189" s="72">
        <f>'Keyword Master'!C189</f>
        <v/>
      </c>
      <c r="D189" s="72">
        <f>'Keyword Master'!M189</f>
        <v/>
      </c>
      <c r="E189" s="73">
        <f>IFERROR(LOOKUP(9.99E+307,J189:AI189),"")</f>
        <v/>
      </c>
      <c r="F189" s="63">
        <f>IFERROR(SMALL(J189:AI189,1),"")</f>
        <v/>
      </c>
      <c r="G189" s="74" t="n"/>
      <c r="H189" s="73">
        <f>IF(OR(E189="",G189=""),"",G189-E189)</f>
        <v/>
      </c>
      <c r="I189" s="63">
        <f>IF(E189="","Not tracked",IF(E189&lt;=3,"Top 3",IF(E189&lt;=10,"Page 1",IF(E189&lt;=20,"Page 2 - near win","Page 3+"))))</f>
        <v/>
      </c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</row>
    <row r="190" ht="15" customHeight="1" s="54">
      <c r="A190" s="63" t="n">
        <v>186</v>
      </c>
      <c r="B190" s="72">
        <f>'Keyword Master'!B190</f>
        <v/>
      </c>
      <c r="C190" s="72">
        <f>'Keyword Master'!C190</f>
        <v/>
      </c>
      <c r="D190" s="72">
        <f>'Keyword Master'!M190</f>
        <v/>
      </c>
      <c r="E190" s="73">
        <f>IFERROR(LOOKUP(9.99E+307,J190:AI190),"")</f>
        <v/>
      </c>
      <c r="F190" s="63">
        <f>IFERROR(SMALL(J190:AI190,1),"")</f>
        <v/>
      </c>
      <c r="G190" s="74" t="n"/>
      <c r="H190" s="73">
        <f>IF(OR(E190="",G190=""),"",G190-E190)</f>
        <v/>
      </c>
      <c r="I190" s="63">
        <f>IF(E190="","Not tracked",IF(E190&lt;=3,"Top 3",IF(E190&lt;=10,"Page 1",IF(E190&lt;=20,"Page 2 - near win","Page 3+"))))</f>
        <v/>
      </c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</row>
    <row r="191" ht="15" customHeight="1" s="54">
      <c r="A191" s="63" t="n">
        <v>187</v>
      </c>
      <c r="B191" s="72">
        <f>'Keyword Master'!B191</f>
        <v/>
      </c>
      <c r="C191" s="72">
        <f>'Keyword Master'!C191</f>
        <v/>
      </c>
      <c r="D191" s="72">
        <f>'Keyword Master'!M191</f>
        <v/>
      </c>
      <c r="E191" s="73">
        <f>IFERROR(LOOKUP(9.99E+307,J191:AI191),"")</f>
        <v/>
      </c>
      <c r="F191" s="63">
        <f>IFERROR(SMALL(J191:AI191,1),"")</f>
        <v/>
      </c>
      <c r="G191" s="74" t="n"/>
      <c r="H191" s="73">
        <f>IF(OR(E191="",G191=""),"",G191-E191)</f>
        <v/>
      </c>
      <c r="I191" s="63">
        <f>IF(E191="","Not tracked",IF(E191&lt;=3,"Top 3",IF(E191&lt;=10,"Page 1",IF(E191&lt;=20,"Page 2 - near win","Page 3+"))))</f>
        <v/>
      </c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</row>
    <row r="192" ht="15" customHeight="1" s="54">
      <c r="A192" s="63" t="n">
        <v>188</v>
      </c>
      <c r="B192" s="72">
        <f>'Keyword Master'!B192</f>
        <v/>
      </c>
      <c r="C192" s="72">
        <f>'Keyword Master'!C192</f>
        <v/>
      </c>
      <c r="D192" s="72">
        <f>'Keyword Master'!M192</f>
        <v/>
      </c>
      <c r="E192" s="73">
        <f>IFERROR(LOOKUP(9.99E+307,J192:AI192),"")</f>
        <v/>
      </c>
      <c r="F192" s="63">
        <f>IFERROR(SMALL(J192:AI192,1),"")</f>
        <v/>
      </c>
      <c r="G192" s="74" t="n"/>
      <c r="H192" s="73">
        <f>IF(OR(E192="",G192=""),"",G192-E192)</f>
        <v/>
      </c>
      <c r="I192" s="63">
        <f>IF(E192="","Not tracked",IF(E192&lt;=3,"Top 3",IF(E192&lt;=10,"Page 1",IF(E192&lt;=20,"Page 2 - near win","Page 3+"))))</f>
        <v/>
      </c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</row>
    <row r="193" ht="15" customHeight="1" s="54">
      <c r="A193" s="63" t="n">
        <v>189</v>
      </c>
      <c r="B193" s="72">
        <f>'Keyword Master'!B193</f>
        <v/>
      </c>
      <c r="C193" s="72">
        <f>'Keyword Master'!C193</f>
        <v/>
      </c>
      <c r="D193" s="72">
        <f>'Keyword Master'!M193</f>
        <v/>
      </c>
      <c r="E193" s="73">
        <f>IFERROR(LOOKUP(9.99E+307,J193:AI193),"")</f>
        <v/>
      </c>
      <c r="F193" s="63">
        <f>IFERROR(SMALL(J193:AI193,1),"")</f>
        <v/>
      </c>
      <c r="G193" s="74" t="n"/>
      <c r="H193" s="73">
        <f>IF(OR(E193="",G193=""),"",G193-E193)</f>
        <v/>
      </c>
      <c r="I193" s="63">
        <f>IF(E193="","Not tracked",IF(E193&lt;=3,"Top 3",IF(E193&lt;=10,"Page 1",IF(E193&lt;=20,"Page 2 - near win","Page 3+"))))</f>
        <v/>
      </c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  <c r="AA193" s="75" t="n"/>
      <c r="AB193" s="75" t="n"/>
      <c r="AC193" s="75" t="n"/>
      <c r="AD193" s="75" t="n"/>
      <c r="AE193" s="75" t="n"/>
      <c r="AF193" s="75" t="n"/>
      <c r="AG193" s="75" t="n"/>
      <c r="AH193" s="75" t="n"/>
      <c r="AI193" s="75" t="n"/>
    </row>
    <row r="194" ht="15" customHeight="1" s="54">
      <c r="A194" s="63" t="n">
        <v>190</v>
      </c>
      <c r="B194" s="72">
        <f>'Keyword Master'!B194</f>
        <v/>
      </c>
      <c r="C194" s="72">
        <f>'Keyword Master'!C194</f>
        <v/>
      </c>
      <c r="D194" s="72">
        <f>'Keyword Master'!M194</f>
        <v/>
      </c>
      <c r="E194" s="73">
        <f>IFERROR(LOOKUP(9.99E+307,J194:AI194),"")</f>
        <v/>
      </c>
      <c r="F194" s="63">
        <f>IFERROR(SMALL(J194:AI194,1),"")</f>
        <v/>
      </c>
      <c r="G194" s="74" t="n"/>
      <c r="H194" s="73">
        <f>IF(OR(E194="",G194=""),"",G194-E194)</f>
        <v/>
      </c>
      <c r="I194" s="63">
        <f>IF(E194="","Not tracked",IF(E194&lt;=3,"Top 3",IF(E194&lt;=10,"Page 1",IF(E194&lt;=20,"Page 2 - near win","Page 3+"))))</f>
        <v/>
      </c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</row>
    <row r="195" ht="15" customHeight="1" s="54">
      <c r="A195" s="63" t="n">
        <v>191</v>
      </c>
      <c r="B195" s="72">
        <f>'Keyword Master'!B195</f>
        <v/>
      </c>
      <c r="C195" s="72">
        <f>'Keyword Master'!C195</f>
        <v/>
      </c>
      <c r="D195" s="72">
        <f>'Keyword Master'!M195</f>
        <v/>
      </c>
      <c r="E195" s="73">
        <f>IFERROR(LOOKUP(9.99E+307,J195:AI195),"")</f>
        <v/>
      </c>
      <c r="F195" s="63">
        <f>IFERROR(SMALL(J195:AI195,1),"")</f>
        <v/>
      </c>
      <c r="G195" s="74" t="n"/>
      <c r="H195" s="73">
        <f>IF(OR(E195="",G195=""),"",G195-E195)</f>
        <v/>
      </c>
      <c r="I195" s="63">
        <f>IF(E195="","Not tracked",IF(E195&lt;=3,"Top 3",IF(E195&lt;=10,"Page 1",IF(E195&lt;=20,"Page 2 - near win","Page 3+"))))</f>
        <v/>
      </c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</row>
    <row r="196" ht="15" customHeight="1" s="54">
      <c r="A196" s="63" t="n">
        <v>192</v>
      </c>
      <c r="B196" s="72">
        <f>'Keyword Master'!B196</f>
        <v/>
      </c>
      <c r="C196" s="72">
        <f>'Keyword Master'!C196</f>
        <v/>
      </c>
      <c r="D196" s="72">
        <f>'Keyword Master'!M196</f>
        <v/>
      </c>
      <c r="E196" s="73">
        <f>IFERROR(LOOKUP(9.99E+307,J196:AI196),"")</f>
        <v/>
      </c>
      <c r="F196" s="63">
        <f>IFERROR(SMALL(J196:AI196,1),"")</f>
        <v/>
      </c>
      <c r="G196" s="74" t="n"/>
      <c r="H196" s="73">
        <f>IF(OR(E196="",G196=""),"",G196-E196)</f>
        <v/>
      </c>
      <c r="I196" s="63">
        <f>IF(E196="","Not tracked",IF(E196&lt;=3,"Top 3",IF(E196&lt;=10,"Page 1",IF(E196&lt;=20,"Page 2 - near win","Page 3+"))))</f>
        <v/>
      </c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</row>
    <row r="197" ht="15" customHeight="1" s="54">
      <c r="A197" s="63" t="n">
        <v>193</v>
      </c>
      <c r="B197" s="72">
        <f>'Keyword Master'!B197</f>
        <v/>
      </c>
      <c r="C197" s="72">
        <f>'Keyword Master'!C197</f>
        <v/>
      </c>
      <c r="D197" s="72">
        <f>'Keyword Master'!M197</f>
        <v/>
      </c>
      <c r="E197" s="73">
        <f>IFERROR(LOOKUP(9.99E+307,J197:AI197),"")</f>
        <v/>
      </c>
      <c r="F197" s="63">
        <f>IFERROR(SMALL(J197:AI197,1),"")</f>
        <v/>
      </c>
      <c r="G197" s="74" t="n"/>
      <c r="H197" s="73">
        <f>IF(OR(E197="",G197=""),"",G197-E197)</f>
        <v/>
      </c>
      <c r="I197" s="63">
        <f>IF(E197="","Not tracked",IF(E197&lt;=3,"Top 3",IF(E197&lt;=10,"Page 1",IF(E197&lt;=20,"Page 2 - near win","Page 3+"))))</f>
        <v/>
      </c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</row>
    <row r="198" ht="15" customHeight="1" s="54">
      <c r="A198" s="63" t="n">
        <v>194</v>
      </c>
      <c r="B198" s="72">
        <f>'Keyword Master'!B198</f>
        <v/>
      </c>
      <c r="C198" s="72">
        <f>'Keyword Master'!C198</f>
        <v/>
      </c>
      <c r="D198" s="72">
        <f>'Keyword Master'!M198</f>
        <v/>
      </c>
      <c r="E198" s="73">
        <f>IFERROR(LOOKUP(9.99E+307,J198:AI198),"")</f>
        <v/>
      </c>
      <c r="F198" s="63">
        <f>IFERROR(SMALL(J198:AI198,1),"")</f>
        <v/>
      </c>
      <c r="G198" s="74" t="n"/>
      <c r="H198" s="73">
        <f>IF(OR(E198="",G198=""),"",G198-E198)</f>
        <v/>
      </c>
      <c r="I198" s="63">
        <f>IF(E198="","Not tracked",IF(E198&lt;=3,"Top 3",IF(E198&lt;=10,"Page 1",IF(E198&lt;=20,"Page 2 - near win","Page 3+"))))</f>
        <v/>
      </c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</row>
    <row r="199" ht="15" customHeight="1" s="54">
      <c r="A199" s="63" t="n">
        <v>195</v>
      </c>
      <c r="B199" s="72">
        <f>'Keyword Master'!B199</f>
        <v/>
      </c>
      <c r="C199" s="72">
        <f>'Keyword Master'!C199</f>
        <v/>
      </c>
      <c r="D199" s="72">
        <f>'Keyword Master'!M199</f>
        <v/>
      </c>
      <c r="E199" s="73">
        <f>IFERROR(LOOKUP(9.99E+307,J199:AI199),"")</f>
        <v/>
      </c>
      <c r="F199" s="63">
        <f>IFERROR(SMALL(J199:AI199,1),"")</f>
        <v/>
      </c>
      <c r="G199" s="74" t="n"/>
      <c r="H199" s="73">
        <f>IF(OR(E199="",G199=""),"",G199-E199)</f>
        <v/>
      </c>
      <c r="I199" s="63">
        <f>IF(E199="","Not tracked",IF(E199&lt;=3,"Top 3",IF(E199&lt;=10,"Page 1",IF(E199&lt;=20,"Page 2 - near win","Page 3+"))))</f>
        <v/>
      </c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</row>
    <row r="200" ht="15" customHeight="1" s="54">
      <c r="A200" s="63" t="n">
        <v>196</v>
      </c>
      <c r="B200" s="72">
        <f>'Keyword Master'!B200</f>
        <v/>
      </c>
      <c r="C200" s="72">
        <f>'Keyword Master'!C200</f>
        <v/>
      </c>
      <c r="D200" s="72">
        <f>'Keyword Master'!M200</f>
        <v/>
      </c>
      <c r="E200" s="73">
        <f>IFERROR(LOOKUP(9.99E+307,J200:AI200),"")</f>
        <v/>
      </c>
      <c r="F200" s="63">
        <f>IFERROR(SMALL(J200:AI200,1),"")</f>
        <v/>
      </c>
      <c r="G200" s="74" t="n"/>
      <c r="H200" s="73">
        <f>IF(OR(E200="",G200=""),"",G200-E200)</f>
        <v/>
      </c>
      <c r="I200" s="63">
        <f>IF(E200="","Not tracked",IF(E200&lt;=3,"Top 3",IF(E200&lt;=10,"Page 1",IF(E200&lt;=20,"Page 2 - near win","Page 3+"))))</f>
        <v/>
      </c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</row>
    <row r="201" ht="15" customHeight="1" s="54">
      <c r="A201" s="63" t="n">
        <v>197</v>
      </c>
      <c r="B201" s="72">
        <f>'Keyword Master'!B201</f>
        <v/>
      </c>
      <c r="C201" s="72">
        <f>'Keyword Master'!C201</f>
        <v/>
      </c>
      <c r="D201" s="72">
        <f>'Keyword Master'!M201</f>
        <v/>
      </c>
      <c r="E201" s="73">
        <f>IFERROR(LOOKUP(9.99E+307,J201:AI201),"")</f>
        <v/>
      </c>
      <c r="F201" s="63">
        <f>IFERROR(SMALL(J201:AI201,1),"")</f>
        <v/>
      </c>
      <c r="G201" s="74" t="n"/>
      <c r="H201" s="73">
        <f>IF(OR(E201="",G201=""),"",G201-E201)</f>
        <v/>
      </c>
      <c r="I201" s="63">
        <f>IF(E201="","Not tracked",IF(E201&lt;=3,"Top 3",IF(E201&lt;=10,"Page 1",IF(E201&lt;=20,"Page 2 - near win","Page 3+"))))</f>
        <v/>
      </c>
      <c r="J201" s="75" t="n"/>
      <c r="K201" s="75" t="n"/>
      <c r="L201" s="75" t="n"/>
      <c r="M201" s="75" t="n"/>
      <c r="N201" s="75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</row>
    <row r="202" ht="15" customHeight="1" s="54">
      <c r="A202" s="63" t="n">
        <v>198</v>
      </c>
      <c r="B202" s="72">
        <f>'Keyword Master'!B202</f>
        <v/>
      </c>
      <c r="C202" s="72">
        <f>'Keyword Master'!C202</f>
        <v/>
      </c>
      <c r="D202" s="72">
        <f>'Keyword Master'!M202</f>
        <v/>
      </c>
      <c r="E202" s="73">
        <f>IFERROR(LOOKUP(9.99E+307,J202:AI202),"")</f>
        <v/>
      </c>
      <c r="F202" s="63">
        <f>IFERROR(SMALL(J202:AI202,1),"")</f>
        <v/>
      </c>
      <c r="G202" s="74" t="n"/>
      <c r="H202" s="73">
        <f>IF(OR(E202="",G202=""),"",G202-E202)</f>
        <v/>
      </c>
      <c r="I202" s="63">
        <f>IF(E202="","Not tracked",IF(E202&lt;=3,"Top 3",IF(E202&lt;=10,"Page 1",IF(E202&lt;=20,"Page 2 - near win","Page 3+"))))</f>
        <v/>
      </c>
      <c r="J202" s="75" t="n"/>
      <c r="K202" s="75" t="n"/>
      <c r="L202" s="75" t="n"/>
      <c r="M202" s="75" t="n"/>
      <c r="N202" s="75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</row>
    <row r="203" ht="15" customHeight="1" s="54">
      <c r="A203" s="63" t="n">
        <v>199</v>
      </c>
      <c r="B203" s="72">
        <f>'Keyword Master'!B203</f>
        <v/>
      </c>
      <c r="C203" s="72">
        <f>'Keyword Master'!C203</f>
        <v/>
      </c>
      <c r="D203" s="72">
        <f>'Keyword Master'!M203</f>
        <v/>
      </c>
      <c r="E203" s="73">
        <f>IFERROR(LOOKUP(9.99E+307,J203:AI203),"")</f>
        <v/>
      </c>
      <c r="F203" s="63">
        <f>IFERROR(SMALL(J203:AI203,1),"")</f>
        <v/>
      </c>
      <c r="G203" s="74" t="n"/>
      <c r="H203" s="73">
        <f>IF(OR(E203="",G203=""),"",G203-E203)</f>
        <v/>
      </c>
      <c r="I203" s="63">
        <f>IF(E203="","Not tracked",IF(E203&lt;=3,"Top 3",IF(E203&lt;=10,"Page 1",IF(E203&lt;=20,"Page 2 - near win","Page 3+"))))</f>
        <v/>
      </c>
      <c r="J203" s="75" t="n"/>
      <c r="K203" s="75" t="n"/>
      <c r="L203" s="75" t="n"/>
      <c r="M203" s="75" t="n"/>
      <c r="N203" s="75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</row>
    <row r="204" ht="15" customHeight="1" s="54">
      <c r="A204" s="63" t="n">
        <v>200</v>
      </c>
      <c r="B204" s="72">
        <f>'Keyword Master'!B204</f>
        <v/>
      </c>
      <c r="C204" s="72">
        <f>'Keyword Master'!C204</f>
        <v/>
      </c>
      <c r="D204" s="72">
        <f>'Keyword Master'!M204</f>
        <v/>
      </c>
      <c r="E204" s="73">
        <f>IFERROR(LOOKUP(9.99E+307,J204:AI204),"")</f>
        <v/>
      </c>
      <c r="F204" s="63">
        <f>IFERROR(SMALL(J204:AI204,1),"")</f>
        <v/>
      </c>
      <c r="G204" s="74" t="n"/>
      <c r="H204" s="73">
        <f>IF(OR(E204="",G204=""),"",G204-E204)</f>
        <v/>
      </c>
      <c r="I204" s="63">
        <f>IF(E204="","Not tracked",IF(E204&lt;=3,"Top 3",IF(E204&lt;=10,"Page 1",IF(E204&lt;=20,"Page 2 - near win","Page 3+"))))</f>
        <v/>
      </c>
      <c r="J204" s="75" t="n"/>
      <c r="K204" s="75" t="n"/>
      <c r="L204" s="75" t="n"/>
      <c r="M204" s="75" t="n"/>
      <c r="N204" s="75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</row>
    <row r="205" ht="15" customHeight="1" s="54">
      <c r="A205" s="63" t="n">
        <v>201</v>
      </c>
      <c r="B205" s="72">
        <f>'Keyword Master'!B205</f>
        <v/>
      </c>
      <c r="C205" s="72">
        <f>'Keyword Master'!C205</f>
        <v/>
      </c>
      <c r="D205" s="72">
        <f>'Keyword Master'!M205</f>
        <v/>
      </c>
      <c r="E205" s="73">
        <f>IFERROR(LOOKUP(9.99E+307,J205:AI205),"")</f>
        <v/>
      </c>
      <c r="F205" s="63">
        <f>IFERROR(SMALL(J205:AI205,1),"")</f>
        <v/>
      </c>
      <c r="G205" s="74" t="n"/>
      <c r="H205" s="73">
        <f>IF(OR(E205="",G205=""),"",G205-E205)</f>
        <v/>
      </c>
      <c r="I205" s="63">
        <f>IF(E205="","Not tracked",IF(E205&lt;=3,"Top 3",IF(E205&lt;=10,"Page 1",IF(E205&lt;=20,"Page 2 - near win","Page 3+"))))</f>
        <v/>
      </c>
      <c r="J205" s="75" t="n"/>
      <c r="K205" s="75" t="n"/>
      <c r="L205" s="75" t="n"/>
      <c r="M205" s="75" t="n"/>
      <c r="N205" s="75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</row>
    <row r="206" ht="15" customHeight="1" s="54">
      <c r="A206" s="63" t="n">
        <v>202</v>
      </c>
      <c r="B206" s="72">
        <f>'Keyword Master'!B206</f>
        <v/>
      </c>
      <c r="C206" s="72">
        <f>'Keyword Master'!C206</f>
        <v/>
      </c>
      <c r="D206" s="72">
        <f>'Keyword Master'!M206</f>
        <v/>
      </c>
      <c r="E206" s="73">
        <f>IFERROR(LOOKUP(9.99E+307,J206:AI206),"")</f>
        <v/>
      </c>
      <c r="F206" s="63">
        <f>IFERROR(SMALL(J206:AI206,1),"")</f>
        <v/>
      </c>
      <c r="G206" s="74" t="n"/>
      <c r="H206" s="73">
        <f>IF(OR(E206="",G206=""),"",G206-E206)</f>
        <v/>
      </c>
      <c r="I206" s="63">
        <f>IF(E206="","Not tracked",IF(E206&lt;=3,"Top 3",IF(E206&lt;=10,"Page 1",IF(E206&lt;=20,"Page 2 - near win","Page 3+"))))</f>
        <v/>
      </c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</row>
    <row r="207" ht="15" customHeight="1" s="54">
      <c r="A207" s="63" t="n">
        <v>203</v>
      </c>
      <c r="B207" s="72">
        <f>'Keyword Master'!B207</f>
        <v/>
      </c>
      <c r="C207" s="72">
        <f>'Keyword Master'!C207</f>
        <v/>
      </c>
      <c r="D207" s="72">
        <f>'Keyword Master'!M207</f>
        <v/>
      </c>
      <c r="E207" s="73">
        <f>IFERROR(LOOKUP(9.99E+307,J207:AI207),"")</f>
        <v/>
      </c>
      <c r="F207" s="63">
        <f>IFERROR(SMALL(J207:AI207,1),"")</f>
        <v/>
      </c>
      <c r="G207" s="74" t="n"/>
      <c r="H207" s="73">
        <f>IF(OR(E207="",G207=""),"",G207-E207)</f>
        <v/>
      </c>
      <c r="I207" s="63">
        <f>IF(E207="","Not tracked",IF(E207&lt;=3,"Top 3",IF(E207&lt;=10,"Page 1",IF(E207&lt;=20,"Page 2 - near win","Page 3+"))))</f>
        <v/>
      </c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</row>
    <row r="208" ht="15" customHeight="1" s="54">
      <c r="A208" s="63" t="n">
        <v>204</v>
      </c>
      <c r="B208" s="72">
        <f>'Keyword Master'!B208</f>
        <v/>
      </c>
      <c r="C208" s="72">
        <f>'Keyword Master'!C208</f>
        <v/>
      </c>
      <c r="D208" s="72">
        <f>'Keyword Master'!M208</f>
        <v/>
      </c>
      <c r="E208" s="73">
        <f>IFERROR(LOOKUP(9.99E+307,J208:AI208),"")</f>
        <v/>
      </c>
      <c r="F208" s="63">
        <f>IFERROR(SMALL(J208:AI208,1),"")</f>
        <v/>
      </c>
      <c r="G208" s="74" t="n"/>
      <c r="H208" s="73">
        <f>IF(OR(E208="",G208=""),"",G208-E208)</f>
        <v/>
      </c>
      <c r="I208" s="63">
        <f>IF(E208="","Not tracked",IF(E208&lt;=3,"Top 3",IF(E208&lt;=10,"Page 1",IF(E208&lt;=20,"Page 2 - near win","Page 3+"))))</f>
        <v/>
      </c>
      <c r="J208" s="75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</row>
    <row r="209" ht="15" customHeight="1" s="54">
      <c r="A209" s="63" t="n">
        <v>205</v>
      </c>
      <c r="B209" s="72">
        <f>'Keyword Master'!B209</f>
        <v/>
      </c>
      <c r="C209" s="72">
        <f>'Keyword Master'!C209</f>
        <v/>
      </c>
      <c r="D209" s="72">
        <f>'Keyword Master'!M209</f>
        <v/>
      </c>
      <c r="E209" s="73">
        <f>IFERROR(LOOKUP(9.99E+307,J209:AI209),"")</f>
        <v/>
      </c>
      <c r="F209" s="63">
        <f>IFERROR(SMALL(J209:AI209,1),"")</f>
        <v/>
      </c>
      <c r="G209" s="74" t="n"/>
      <c r="H209" s="73">
        <f>IF(OR(E209="",G209=""),"",G209-E209)</f>
        <v/>
      </c>
      <c r="I209" s="63">
        <f>IF(E209="","Not tracked",IF(E209&lt;=3,"Top 3",IF(E209&lt;=10,"Page 1",IF(E209&lt;=20,"Page 2 - near win","Page 3+"))))</f>
        <v/>
      </c>
      <c r="J209" s="75" t="n"/>
      <c r="K209" s="75" t="n"/>
      <c r="L209" s="75" t="n"/>
      <c r="M209" s="75" t="n"/>
      <c r="N209" s="75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</row>
    <row r="210" ht="15" customHeight="1" s="54">
      <c r="A210" s="63" t="n">
        <v>206</v>
      </c>
      <c r="B210" s="72">
        <f>'Keyword Master'!B210</f>
        <v/>
      </c>
      <c r="C210" s="72">
        <f>'Keyword Master'!C210</f>
        <v/>
      </c>
      <c r="D210" s="72">
        <f>'Keyword Master'!M210</f>
        <v/>
      </c>
      <c r="E210" s="73">
        <f>IFERROR(LOOKUP(9.99E+307,J210:AI210),"")</f>
        <v/>
      </c>
      <c r="F210" s="63">
        <f>IFERROR(SMALL(J210:AI210,1),"")</f>
        <v/>
      </c>
      <c r="G210" s="74" t="n"/>
      <c r="H210" s="73">
        <f>IF(OR(E210="",G210=""),"",G210-E210)</f>
        <v/>
      </c>
      <c r="I210" s="63">
        <f>IF(E210="","Not tracked",IF(E210&lt;=3,"Top 3",IF(E210&lt;=10,"Page 1",IF(E210&lt;=20,"Page 2 - near win","Page 3+"))))</f>
        <v/>
      </c>
      <c r="J210" s="75" t="n"/>
      <c r="K210" s="75" t="n"/>
      <c r="L210" s="75" t="n"/>
      <c r="M210" s="75" t="n"/>
      <c r="N210" s="75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</row>
    <row r="211" ht="15" customHeight="1" s="54">
      <c r="A211" s="63" t="n">
        <v>207</v>
      </c>
      <c r="B211" s="72">
        <f>'Keyword Master'!B211</f>
        <v/>
      </c>
      <c r="C211" s="72">
        <f>'Keyword Master'!C211</f>
        <v/>
      </c>
      <c r="D211" s="72">
        <f>'Keyword Master'!M211</f>
        <v/>
      </c>
      <c r="E211" s="73">
        <f>IFERROR(LOOKUP(9.99E+307,J211:AI211),"")</f>
        <v/>
      </c>
      <c r="F211" s="63">
        <f>IFERROR(SMALL(J211:AI211,1),"")</f>
        <v/>
      </c>
      <c r="G211" s="74" t="n"/>
      <c r="H211" s="73">
        <f>IF(OR(E211="",G211=""),"",G211-E211)</f>
        <v/>
      </c>
      <c r="I211" s="63">
        <f>IF(E211="","Not tracked",IF(E211&lt;=3,"Top 3",IF(E211&lt;=10,"Page 1",IF(E211&lt;=20,"Page 2 - near win","Page 3+"))))</f>
        <v/>
      </c>
      <c r="J211" s="75" t="n"/>
      <c r="K211" s="75" t="n"/>
      <c r="L211" s="75" t="n"/>
      <c r="M211" s="75" t="n"/>
      <c r="N211" s="75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</row>
    <row r="212" ht="15" customHeight="1" s="54">
      <c r="A212" s="63" t="n">
        <v>208</v>
      </c>
      <c r="B212" s="72">
        <f>'Keyword Master'!B212</f>
        <v/>
      </c>
      <c r="C212" s="72">
        <f>'Keyword Master'!C212</f>
        <v/>
      </c>
      <c r="D212" s="72">
        <f>'Keyword Master'!M212</f>
        <v/>
      </c>
      <c r="E212" s="73">
        <f>IFERROR(LOOKUP(9.99E+307,J212:AI212),"")</f>
        <v/>
      </c>
      <c r="F212" s="63">
        <f>IFERROR(SMALL(J212:AI212,1),"")</f>
        <v/>
      </c>
      <c r="G212" s="74" t="n"/>
      <c r="H212" s="73">
        <f>IF(OR(E212="",G212=""),"",G212-E212)</f>
        <v/>
      </c>
      <c r="I212" s="63">
        <f>IF(E212="","Not tracked",IF(E212&lt;=3,"Top 3",IF(E212&lt;=10,"Page 1",IF(E212&lt;=20,"Page 2 - near win","Page 3+"))))</f>
        <v/>
      </c>
      <c r="J212" s="75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</row>
    <row r="213" ht="15" customHeight="1" s="54">
      <c r="A213" s="63" t="n">
        <v>209</v>
      </c>
      <c r="B213" s="72">
        <f>'Keyword Master'!B213</f>
        <v/>
      </c>
      <c r="C213" s="72">
        <f>'Keyword Master'!C213</f>
        <v/>
      </c>
      <c r="D213" s="72">
        <f>'Keyword Master'!M213</f>
        <v/>
      </c>
      <c r="E213" s="73">
        <f>IFERROR(LOOKUP(9.99E+307,J213:AI213),"")</f>
        <v/>
      </c>
      <c r="F213" s="63">
        <f>IFERROR(SMALL(J213:AI213,1),"")</f>
        <v/>
      </c>
      <c r="G213" s="74" t="n"/>
      <c r="H213" s="73">
        <f>IF(OR(E213="",G213=""),"",G213-E213)</f>
        <v/>
      </c>
      <c r="I213" s="63">
        <f>IF(E213="","Not tracked",IF(E213&lt;=3,"Top 3",IF(E213&lt;=10,"Page 1",IF(E213&lt;=20,"Page 2 - near win","Page 3+"))))</f>
        <v/>
      </c>
      <c r="J213" s="75" t="n"/>
      <c r="K213" s="75" t="n"/>
      <c r="L213" s="75" t="n"/>
      <c r="M213" s="75" t="n"/>
      <c r="N213" s="75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</row>
    <row r="214" ht="15" customHeight="1" s="54">
      <c r="A214" s="63" t="n">
        <v>210</v>
      </c>
      <c r="B214" s="72">
        <f>'Keyword Master'!B214</f>
        <v/>
      </c>
      <c r="C214" s="72">
        <f>'Keyword Master'!C214</f>
        <v/>
      </c>
      <c r="D214" s="72">
        <f>'Keyword Master'!M214</f>
        <v/>
      </c>
      <c r="E214" s="73">
        <f>IFERROR(LOOKUP(9.99E+307,J214:AI214),"")</f>
        <v/>
      </c>
      <c r="F214" s="63">
        <f>IFERROR(SMALL(J214:AI214,1),"")</f>
        <v/>
      </c>
      <c r="G214" s="74" t="n"/>
      <c r="H214" s="73">
        <f>IF(OR(E214="",G214=""),"",G214-E214)</f>
        <v/>
      </c>
      <c r="I214" s="63">
        <f>IF(E214="","Not tracked",IF(E214&lt;=3,"Top 3",IF(E214&lt;=10,"Page 1",IF(E214&lt;=20,"Page 2 - near win","Page 3+"))))</f>
        <v/>
      </c>
      <c r="J214" s="75" t="n"/>
      <c r="K214" s="75" t="n"/>
      <c r="L214" s="75" t="n"/>
      <c r="M214" s="75" t="n"/>
      <c r="N214" s="75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</row>
    <row r="215" ht="15" customHeight="1" s="54">
      <c r="A215" s="63" t="n">
        <v>211</v>
      </c>
      <c r="B215" s="72">
        <f>'Keyword Master'!B215</f>
        <v/>
      </c>
      <c r="C215" s="72">
        <f>'Keyword Master'!C215</f>
        <v/>
      </c>
      <c r="D215" s="72">
        <f>'Keyword Master'!M215</f>
        <v/>
      </c>
      <c r="E215" s="73">
        <f>IFERROR(LOOKUP(9.99E+307,J215:AI215),"")</f>
        <v/>
      </c>
      <c r="F215" s="63">
        <f>IFERROR(SMALL(J215:AI215,1),"")</f>
        <v/>
      </c>
      <c r="G215" s="74" t="n"/>
      <c r="H215" s="73">
        <f>IF(OR(E215="",G215=""),"",G215-E215)</f>
        <v/>
      </c>
      <c r="I215" s="63">
        <f>IF(E215="","Not tracked",IF(E215&lt;=3,"Top 3",IF(E215&lt;=10,"Page 1",IF(E215&lt;=20,"Page 2 - near win","Page 3+"))))</f>
        <v/>
      </c>
      <c r="J215" s="75" t="n"/>
      <c r="K215" s="75" t="n"/>
      <c r="L215" s="75" t="n"/>
      <c r="M215" s="75" t="n"/>
      <c r="N215" s="75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</row>
    <row r="216" ht="15" customHeight="1" s="54">
      <c r="A216" s="63" t="n">
        <v>212</v>
      </c>
      <c r="B216" s="72">
        <f>'Keyword Master'!B216</f>
        <v/>
      </c>
      <c r="C216" s="72">
        <f>'Keyword Master'!C216</f>
        <v/>
      </c>
      <c r="D216" s="72">
        <f>'Keyword Master'!M216</f>
        <v/>
      </c>
      <c r="E216" s="73">
        <f>IFERROR(LOOKUP(9.99E+307,J216:AI216),"")</f>
        <v/>
      </c>
      <c r="F216" s="63">
        <f>IFERROR(SMALL(J216:AI216,1),"")</f>
        <v/>
      </c>
      <c r="G216" s="74" t="n"/>
      <c r="H216" s="73">
        <f>IF(OR(E216="",G216=""),"",G216-E216)</f>
        <v/>
      </c>
      <c r="I216" s="63">
        <f>IF(E216="","Not tracked",IF(E216&lt;=3,"Top 3",IF(E216&lt;=10,"Page 1",IF(E216&lt;=20,"Page 2 - near win","Page 3+"))))</f>
        <v/>
      </c>
      <c r="J216" s="75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</row>
    <row r="217" ht="15" customHeight="1" s="54">
      <c r="A217" s="63" t="n">
        <v>213</v>
      </c>
      <c r="B217" s="72">
        <f>'Keyword Master'!B217</f>
        <v/>
      </c>
      <c r="C217" s="72">
        <f>'Keyword Master'!C217</f>
        <v/>
      </c>
      <c r="D217" s="72">
        <f>'Keyword Master'!M217</f>
        <v/>
      </c>
      <c r="E217" s="73">
        <f>IFERROR(LOOKUP(9.99E+307,J217:AI217),"")</f>
        <v/>
      </c>
      <c r="F217" s="63">
        <f>IFERROR(SMALL(J217:AI217,1),"")</f>
        <v/>
      </c>
      <c r="G217" s="74" t="n"/>
      <c r="H217" s="73">
        <f>IF(OR(E217="",G217=""),"",G217-E217)</f>
        <v/>
      </c>
      <c r="I217" s="63">
        <f>IF(E217="","Not tracked",IF(E217&lt;=3,"Top 3",IF(E217&lt;=10,"Page 1",IF(E217&lt;=20,"Page 2 - near win","Page 3+"))))</f>
        <v/>
      </c>
      <c r="J217" s="75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</row>
    <row r="218" ht="15" customHeight="1" s="54">
      <c r="A218" s="63" t="n">
        <v>214</v>
      </c>
      <c r="B218" s="72">
        <f>'Keyword Master'!B218</f>
        <v/>
      </c>
      <c r="C218" s="72">
        <f>'Keyword Master'!C218</f>
        <v/>
      </c>
      <c r="D218" s="72">
        <f>'Keyword Master'!M218</f>
        <v/>
      </c>
      <c r="E218" s="73">
        <f>IFERROR(LOOKUP(9.99E+307,J218:AI218),"")</f>
        <v/>
      </c>
      <c r="F218" s="63">
        <f>IFERROR(SMALL(J218:AI218,1),"")</f>
        <v/>
      </c>
      <c r="G218" s="74" t="n"/>
      <c r="H218" s="73">
        <f>IF(OR(E218="",G218=""),"",G218-E218)</f>
        <v/>
      </c>
      <c r="I218" s="63">
        <f>IF(E218="","Not tracked",IF(E218&lt;=3,"Top 3",IF(E218&lt;=10,"Page 1",IF(E218&lt;=20,"Page 2 - near win","Page 3+"))))</f>
        <v/>
      </c>
      <c r="J218" s="75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</row>
    <row r="219" ht="15" customHeight="1" s="54">
      <c r="A219" s="63" t="n">
        <v>215</v>
      </c>
      <c r="B219" s="72">
        <f>'Keyword Master'!B219</f>
        <v/>
      </c>
      <c r="C219" s="72">
        <f>'Keyword Master'!C219</f>
        <v/>
      </c>
      <c r="D219" s="72">
        <f>'Keyword Master'!M219</f>
        <v/>
      </c>
      <c r="E219" s="73">
        <f>IFERROR(LOOKUP(9.99E+307,J219:AI219),"")</f>
        <v/>
      </c>
      <c r="F219" s="63">
        <f>IFERROR(SMALL(J219:AI219,1),"")</f>
        <v/>
      </c>
      <c r="G219" s="74" t="n"/>
      <c r="H219" s="73">
        <f>IF(OR(E219="",G219=""),"",G219-E219)</f>
        <v/>
      </c>
      <c r="I219" s="63">
        <f>IF(E219="","Not tracked",IF(E219&lt;=3,"Top 3",IF(E219&lt;=10,"Page 1",IF(E219&lt;=20,"Page 2 - near win","Page 3+"))))</f>
        <v/>
      </c>
      <c r="J219" s="75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</row>
    <row r="220" ht="15" customHeight="1" s="54">
      <c r="A220" s="63" t="n">
        <v>216</v>
      </c>
      <c r="B220" s="72">
        <f>'Keyword Master'!B220</f>
        <v/>
      </c>
      <c r="C220" s="72">
        <f>'Keyword Master'!C220</f>
        <v/>
      </c>
      <c r="D220" s="72">
        <f>'Keyword Master'!M220</f>
        <v/>
      </c>
      <c r="E220" s="73">
        <f>IFERROR(LOOKUP(9.99E+307,J220:AI220),"")</f>
        <v/>
      </c>
      <c r="F220" s="63">
        <f>IFERROR(SMALL(J220:AI220,1),"")</f>
        <v/>
      </c>
      <c r="G220" s="74" t="n"/>
      <c r="H220" s="73">
        <f>IF(OR(E220="",G220=""),"",G220-E220)</f>
        <v/>
      </c>
      <c r="I220" s="63">
        <f>IF(E220="","Not tracked",IF(E220&lt;=3,"Top 3",IF(E220&lt;=10,"Page 1",IF(E220&lt;=20,"Page 2 - near win","Page 3+"))))</f>
        <v/>
      </c>
      <c r="J220" s="75" t="n"/>
      <c r="K220" s="75" t="n"/>
      <c r="L220" s="75" t="n"/>
      <c r="M220" s="75" t="n"/>
      <c r="N220" s="75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</row>
    <row r="221" ht="15" customHeight="1" s="54">
      <c r="A221" s="63" t="n">
        <v>217</v>
      </c>
      <c r="B221" s="72">
        <f>'Keyword Master'!B221</f>
        <v/>
      </c>
      <c r="C221" s="72">
        <f>'Keyword Master'!C221</f>
        <v/>
      </c>
      <c r="D221" s="72">
        <f>'Keyword Master'!M221</f>
        <v/>
      </c>
      <c r="E221" s="73">
        <f>IFERROR(LOOKUP(9.99E+307,J221:AI221),"")</f>
        <v/>
      </c>
      <c r="F221" s="63">
        <f>IFERROR(SMALL(J221:AI221,1),"")</f>
        <v/>
      </c>
      <c r="G221" s="74" t="n"/>
      <c r="H221" s="73">
        <f>IF(OR(E221="",G221=""),"",G221-E221)</f>
        <v/>
      </c>
      <c r="I221" s="63">
        <f>IF(E221="","Not tracked",IF(E221&lt;=3,"Top 3",IF(E221&lt;=10,"Page 1",IF(E221&lt;=20,"Page 2 - near win","Page 3+"))))</f>
        <v/>
      </c>
      <c r="J221" s="75" t="n"/>
      <c r="K221" s="75" t="n"/>
      <c r="L221" s="75" t="n"/>
      <c r="M221" s="75" t="n"/>
      <c r="N221" s="75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</row>
    <row r="222" ht="15" customHeight="1" s="54">
      <c r="A222" s="63" t="n">
        <v>218</v>
      </c>
      <c r="B222" s="72">
        <f>'Keyword Master'!B222</f>
        <v/>
      </c>
      <c r="C222" s="72">
        <f>'Keyword Master'!C222</f>
        <v/>
      </c>
      <c r="D222" s="72">
        <f>'Keyword Master'!M222</f>
        <v/>
      </c>
      <c r="E222" s="73">
        <f>IFERROR(LOOKUP(9.99E+307,J222:AI222),"")</f>
        <v/>
      </c>
      <c r="F222" s="63">
        <f>IFERROR(SMALL(J222:AI222,1),"")</f>
        <v/>
      </c>
      <c r="G222" s="74" t="n"/>
      <c r="H222" s="73">
        <f>IF(OR(E222="",G222=""),"",G222-E222)</f>
        <v/>
      </c>
      <c r="I222" s="63">
        <f>IF(E222="","Not tracked",IF(E222&lt;=3,"Top 3",IF(E222&lt;=10,"Page 1",IF(E222&lt;=20,"Page 2 - near win","Page 3+"))))</f>
        <v/>
      </c>
      <c r="J222" s="75" t="n"/>
      <c r="K222" s="75" t="n"/>
      <c r="L222" s="75" t="n"/>
      <c r="M222" s="75" t="n"/>
      <c r="N222" s="75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</row>
    <row r="223" ht="15" customHeight="1" s="54">
      <c r="A223" s="63" t="n">
        <v>219</v>
      </c>
      <c r="B223" s="72">
        <f>'Keyword Master'!B223</f>
        <v/>
      </c>
      <c r="C223" s="72">
        <f>'Keyword Master'!C223</f>
        <v/>
      </c>
      <c r="D223" s="72">
        <f>'Keyword Master'!M223</f>
        <v/>
      </c>
      <c r="E223" s="73">
        <f>IFERROR(LOOKUP(9.99E+307,J223:AI223),"")</f>
        <v/>
      </c>
      <c r="F223" s="63">
        <f>IFERROR(SMALL(J223:AI223,1),"")</f>
        <v/>
      </c>
      <c r="G223" s="74" t="n"/>
      <c r="H223" s="73">
        <f>IF(OR(E223="",G223=""),"",G223-E223)</f>
        <v/>
      </c>
      <c r="I223" s="63">
        <f>IF(E223="","Not tracked",IF(E223&lt;=3,"Top 3",IF(E223&lt;=10,"Page 1",IF(E223&lt;=20,"Page 2 - near win","Page 3+"))))</f>
        <v/>
      </c>
      <c r="J223" s="75" t="n"/>
      <c r="K223" s="75" t="n"/>
      <c r="L223" s="75" t="n"/>
      <c r="M223" s="75" t="n"/>
      <c r="N223" s="75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</row>
    <row r="224" ht="15" customHeight="1" s="54">
      <c r="A224" s="63" t="n">
        <v>220</v>
      </c>
      <c r="B224" s="72">
        <f>'Keyword Master'!B224</f>
        <v/>
      </c>
      <c r="C224" s="72">
        <f>'Keyword Master'!C224</f>
        <v/>
      </c>
      <c r="D224" s="72">
        <f>'Keyword Master'!M224</f>
        <v/>
      </c>
      <c r="E224" s="73">
        <f>IFERROR(LOOKUP(9.99E+307,J224:AI224),"")</f>
        <v/>
      </c>
      <c r="F224" s="63">
        <f>IFERROR(SMALL(J224:AI224,1),"")</f>
        <v/>
      </c>
      <c r="G224" s="74" t="n"/>
      <c r="H224" s="73">
        <f>IF(OR(E224="",G224=""),"",G224-E224)</f>
        <v/>
      </c>
      <c r="I224" s="63">
        <f>IF(E224="","Not tracked",IF(E224&lt;=3,"Top 3",IF(E224&lt;=10,"Page 1",IF(E224&lt;=20,"Page 2 - near win","Page 3+"))))</f>
        <v/>
      </c>
      <c r="J224" s="75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</row>
    <row r="225" ht="15" customHeight="1" s="54">
      <c r="A225" s="63" t="n">
        <v>221</v>
      </c>
      <c r="B225" s="72">
        <f>'Keyword Master'!B225</f>
        <v/>
      </c>
      <c r="C225" s="72">
        <f>'Keyword Master'!C225</f>
        <v/>
      </c>
      <c r="D225" s="72">
        <f>'Keyword Master'!M225</f>
        <v/>
      </c>
      <c r="E225" s="73">
        <f>IFERROR(LOOKUP(9.99E+307,J225:AI225),"")</f>
        <v/>
      </c>
      <c r="F225" s="63">
        <f>IFERROR(SMALL(J225:AI225,1),"")</f>
        <v/>
      </c>
      <c r="G225" s="74" t="n"/>
      <c r="H225" s="73">
        <f>IF(OR(E225="",G225=""),"",G225-E225)</f>
        <v/>
      </c>
      <c r="I225" s="63">
        <f>IF(E225="","Not tracked",IF(E225&lt;=3,"Top 3",IF(E225&lt;=10,"Page 1",IF(E225&lt;=20,"Page 2 - near win","Page 3+"))))</f>
        <v/>
      </c>
      <c r="J225" s="75" t="n"/>
      <c r="K225" s="75" t="n"/>
      <c r="L225" s="75" t="n"/>
      <c r="M225" s="75" t="n"/>
      <c r="N225" s="75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</row>
    <row r="226" ht="15" customHeight="1" s="54">
      <c r="A226" s="63" t="n">
        <v>222</v>
      </c>
      <c r="B226" s="72">
        <f>'Keyword Master'!B226</f>
        <v/>
      </c>
      <c r="C226" s="72">
        <f>'Keyword Master'!C226</f>
        <v/>
      </c>
      <c r="D226" s="72">
        <f>'Keyword Master'!M226</f>
        <v/>
      </c>
      <c r="E226" s="73">
        <f>IFERROR(LOOKUP(9.99E+307,J226:AI226),"")</f>
        <v/>
      </c>
      <c r="F226" s="63">
        <f>IFERROR(SMALL(J226:AI226,1),"")</f>
        <v/>
      </c>
      <c r="G226" s="74" t="n"/>
      <c r="H226" s="73">
        <f>IF(OR(E226="",G226=""),"",G226-E226)</f>
        <v/>
      </c>
      <c r="I226" s="63">
        <f>IF(E226="","Not tracked",IF(E226&lt;=3,"Top 3",IF(E226&lt;=10,"Page 1",IF(E226&lt;=20,"Page 2 - near win","Page 3+"))))</f>
        <v/>
      </c>
      <c r="J226" s="75" t="n"/>
      <c r="K226" s="75" t="n"/>
      <c r="L226" s="75" t="n"/>
      <c r="M226" s="75" t="n"/>
      <c r="N226" s="75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</row>
    <row r="227" ht="15" customHeight="1" s="54">
      <c r="A227" s="63" t="n">
        <v>223</v>
      </c>
      <c r="B227" s="72">
        <f>'Keyword Master'!B227</f>
        <v/>
      </c>
      <c r="C227" s="72">
        <f>'Keyword Master'!C227</f>
        <v/>
      </c>
      <c r="D227" s="72">
        <f>'Keyword Master'!M227</f>
        <v/>
      </c>
      <c r="E227" s="73">
        <f>IFERROR(LOOKUP(9.99E+307,J227:AI227),"")</f>
        <v/>
      </c>
      <c r="F227" s="63">
        <f>IFERROR(SMALL(J227:AI227,1),"")</f>
        <v/>
      </c>
      <c r="G227" s="74" t="n"/>
      <c r="H227" s="73">
        <f>IF(OR(E227="",G227=""),"",G227-E227)</f>
        <v/>
      </c>
      <c r="I227" s="63">
        <f>IF(E227="","Not tracked",IF(E227&lt;=3,"Top 3",IF(E227&lt;=10,"Page 1",IF(E227&lt;=20,"Page 2 - near win","Page 3+"))))</f>
        <v/>
      </c>
      <c r="J227" s="75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</row>
    <row r="228" ht="15" customHeight="1" s="54">
      <c r="A228" s="63" t="n">
        <v>224</v>
      </c>
      <c r="B228" s="72">
        <f>'Keyword Master'!B228</f>
        <v/>
      </c>
      <c r="C228" s="72">
        <f>'Keyword Master'!C228</f>
        <v/>
      </c>
      <c r="D228" s="72">
        <f>'Keyword Master'!M228</f>
        <v/>
      </c>
      <c r="E228" s="73">
        <f>IFERROR(LOOKUP(9.99E+307,J228:AI228),"")</f>
        <v/>
      </c>
      <c r="F228" s="63">
        <f>IFERROR(SMALL(J228:AI228,1),"")</f>
        <v/>
      </c>
      <c r="G228" s="74" t="n"/>
      <c r="H228" s="73">
        <f>IF(OR(E228="",G228=""),"",G228-E228)</f>
        <v/>
      </c>
      <c r="I228" s="63">
        <f>IF(E228="","Not tracked",IF(E228&lt;=3,"Top 3",IF(E228&lt;=10,"Page 1",IF(E228&lt;=20,"Page 2 - near win","Page 3+"))))</f>
        <v/>
      </c>
      <c r="J228" s="75" t="n"/>
      <c r="K228" s="75" t="n"/>
      <c r="L228" s="75" t="n"/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</row>
    <row r="229" ht="15" customHeight="1" s="54">
      <c r="A229" s="63" t="n">
        <v>225</v>
      </c>
      <c r="B229" s="72">
        <f>'Keyword Master'!B229</f>
        <v/>
      </c>
      <c r="C229" s="72">
        <f>'Keyword Master'!C229</f>
        <v/>
      </c>
      <c r="D229" s="72">
        <f>'Keyword Master'!M229</f>
        <v/>
      </c>
      <c r="E229" s="73">
        <f>IFERROR(LOOKUP(9.99E+307,J229:AI229),"")</f>
        <v/>
      </c>
      <c r="F229" s="63">
        <f>IFERROR(SMALL(J229:AI229,1),"")</f>
        <v/>
      </c>
      <c r="G229" s="74" t="n"/>
      <c r="H229" s="73">
        <f>IF(OR(E229="",G229=""),"",G229-E229)</f>
        <v/>
      </c>
      <c r="I229" s="63">
        <f>IF(E229="","Not tracked",IF(E229&lt;=3,"Top 3",IF(E229&lt;=10,"Page 1",IF(E229&lt;=20,"Page 2 - near win","Page 3+"))))</f>
        <v/>
      </c>
      <c r="J229" s="75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</row>
    <row r="230" ht="15" customHeight="1" s="54">
      <c r="A230" s="63" t="n">
        <v>226</v>
      </c>
      <c r="B230" s="72">
        <f>'Keyword Master'!B230</f>
        <v/>
      </c>
      <c r="C230" s="72">
        <f>'Keyword Master'!C230</f>
        <v/>
      </c>
      <c r="D230" s="72">
        <f>'Keyword Master'!M230</f>
        <v/>
      </c>
      <c r="E230" s="73">
        <f>IFERROR(LOOKUP(9.99E+307,J230:AI230),"")</f>
        <v/>
      </c>
      <c r="F230" s="63">
        <f>IFERROR(SMALL(J230:AI230,1),"")</f>
        <v/>
      </c>
      <c r="G230" s="74" t="n"/>
      <c r="H230" s="73">
        <f>IF(OR(E230="",G230=""),"",G230-E230)</f>
        <v/>
      </c>
      <c r="I230" s="63">
        <f>IF(E230="","Not tracked",IF(E230&lt;=3,"Top 3",IF(E230&lt;=10,"Page 1",IF(E230&lt;=20,"Page 2 - near win","Page 3+"))))</f>
        <v/>
      </c>
      <c r="J230" s="75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</row>
    <row r="231" ht="15" customHeight="1" s="54">
      <c r="A231" s="63" t="n">
        <v>227</v>
      </c>
      <c r="B231" s="72">
        <f>'Keyword Master'!B231</f>
        <v/>
      </c>
      <c r="C231" s="72">
        <f>'Keyword Master'!C231</f>
        <v/>
      </c>
      <c r="D231" s="72">
        <f>'Keyword Master'!M231</f>
        <v/>
      </c>
      <c r="E231" s="73">
        <f>IFERROR(LOOKUP(9.99E+307,J231:AI231),"")</f>
        <v/>
      </c>
      <c r="F231" s="63">
        <f>IFERROR(SMALL(J231:AI231,1),"")</f>
        <v/>
      </c>
      <c r="G231" s="74" t="n"/>
      <c r="H231" s="73">
        <f>IF(OR(E231="",G231=""),"",G231-E231)</f>
        <v/>
      </c>
      <c r="I231" s="63">
        <f>IF(E231="","Not tracked",IF(E231&lt;=3,"Top 3",IF(E231&lt;=10,"Page 1",IF(E231&lt;=20,"Page 2 - near win","Page 3+"))))</f>
        <v/>
      </c>
      <c r="J231" s="75" t="n"/>
      <c r="K231" s="75" t="n"/>
      <c r="L231" s="75" t="n"/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n"/>
      <c r="W231" s="75" t="n"/>
      <c r="X231" s="75" t="n"/>
      <c r="Y231" s="75" t="n"/>
      <c r="Z231" s="75" t="n"/>
      <c r="AA231" s="75" t="n"/>
      <c r="AB231" s="75" t="n"/>
      <c r="AC231" s="75" t="n"/>
      <c r="AD231" s="75" t="n"/>
      <c r="AE231" s="75" t="n"/>
      <c r="AF231" s="75" t="n"/>
      <c r="AG231" s="75" t="n"/>
      <c r="AH231" s="75" t="n"/>
      <c r="AI231" s="75" t="n"/>
    </row>
    <row r="232" ht="15" customHeight="1" s="54">
      <c r="A232" s="63" t="n">
        <v>228</v>
      </c>
      <c r="B232" s="72">
        <f>'Keyword Master'!B232</f>
        <v/>
      </c>
      <c r="C232" s="72">
        <f>'Keyword Master'!C232</f>
        <v/>
      </c>
      <c r="D232" s="72">
        <f>'Keyword Master'!M232</f>
        <v/>
      </c>
      <c r="E232" s="73">
        <f>IFERROR(LOOKUP(9.99E+307,J232:AI232),"")</f>
        <v/>
      </c>
      <c r="F232" s="63">
        <f>IFERROR(SMALL(J232:AI232,1),"")</f>
        <v/>
      </c>
      <c r="G232" s="74" t="n"/>
      <c r="H232" s="73">
        <f>IF(OR(E232="",G232=""),"",G232-E232)</f>
        <v/>
      </c>
      <c r="I232" s="63">
        <f>IF(E232="","Not tracked",IF(E232&lt;=3,"Top 3",IF(E232&lt;=10,"Page 1",IF(E232&lt;=20,"Page 2 - near win","Page 3+"))))</f>
        <v/>
      </c>
      <c r="J232" s="75" t="n"/>
      <c r="K232" s="75" t="n"/>
      <c r="L232" s="75" t="n"/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  <c r="AG232" s="75" t="n"/>
      <c r="AH232" s="75" t="n"/>
      <c r="AI232" s="75" t="n"/>
    </row>
    <row r="233" ht="15" customHeight="1" s="54">
      <c r="A233" s="63" t="n">
        <v>229</v>
      </c>
      <c r="B233" s="72">
        <f>'Keyword Master'!B233</f>
        <v/>
      </c>
      <c r="C233" s="72">
        <f>'Keyword Master'!C233</f>
        <v/>
      </c>
      <c r="D233" s="72">
        <f>'Keyword Master'!M233</f>
        <v/>
      </c>
      <c r="E233" s="73">
        <f>IFERROR(LOOKUP(9.99E+307,J233:AI233),"")</f>
        <v/>
      </c>
      <c r="F233" s="63">
        <f>IFERROR(SMALL(J233:AI233,1),"")</f>
        <v/>
      </c>
      <c r="G233" s="74" t="n"/>
      <c r="H233" s="73">
        <f>IF(OR(E233="",G233=""),"",G233-E233)</f>
        <v/>
      </c>
      <c r="I233" s="63">
        <f>IF(E233="","Not tracked",IF(E233&lt;=3,"Top 3",IF(E233&lt;=10,"Page 1",IF(E233&lt;=20,"Page 2 - near win","Page 3+"))))</f>
        <v/>
      </c>
      <c r="J233" s="75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n"/>
      <c r="W233" s="75" t="n"/>
      <c r="X233" s="75" t="n"/>
      <c r="Y233" s="75" t="n"/>
      <c r="Z233" s="75" t="n"/>
      <c r="AA233" s="75" t="n"/>
      <c r="AB233" s="75" t="n"/>
      <c r="AC233" s="75" t="n"/>
      <c r="AD233" s="75" t="n"/>
      <c r="AE233" s="75" t="n"/>
      <c r="AF233" s="75" t="n"/>
      <c r="AG233" s="75" t="n"/>
      <c r="AH233" s="75" t="n"/>
      <c r="AI233" s="75" t="n"/>
    </row>
    <row r="234" ht="15" customHeight="1" s="54">
      <c r="A234" s="63" t="n">
        <v>230</v>
      </c>
      <c r="B234" s="72">
        <f>'Keyword Master'!B234</f>
        <v/>
      </c>
      <c r="C234" s="72">
        <f>'Keyword Master'!C234</f>
        <v/>
      </c>
      <c r="D234" s="72">
        <f>'Keyword Master'!M234</f>
        <v/>
      </c>
      <c r="E234" s="73">
        <f>IFERROR(LOOKUP(9.99E+307,J234:AI234),"")</f>
        <v/>
      </c>
      <c r="F234" s="63">
        <f>IFERROR(SMALL(J234:AI234,1),"")</f>
        <v/>
      </c>
      <c r="G234" s="74" t="n"/>
      <c r="H234" s="73">
        <f>IF(OR(E234="",G234=""),"",G234-E234)</f>
        <v/>
      </c>
      <c r="I234" s="63">
        <f>IF(E234="","Not tracked",IF(E234&lt;=3,"Top 3",IF(E234&lt;=10,"Page 1",IF(E234&lt;=20,"Page 2 - near win","Page 3+"))))</f>
        <v/>
      </c>
      <c r="J234" s="75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</row>
    <row r="235" ht="15" customHeight="1" s="54">
      <c r="A235" s="63" t="n">
        <v>231</v>
      </c>
      <c r="B235" s="72">
        <f>'Keyword Master'!B235</f>
        <v/>
      </c>
      <c r="C235" s="72">
        <f>'Keyword Master'!C235</f>
        <v/>
      </c>
      <c r="D235" s="72">
        <f>'Keyword Master'!M235</f>
        <v/>
      </c>
      <c r="E235" s="73">
        <f>IFERROR(LOOKUP(9.99E+307,J235:AI235),"")</f>
        <v/>
      </c>
      <c r="F235" s="63">
        <f>IFERROR(SMALL(J235:AI235,1),"")</f>
        <v/>
      </c>
      <c r="G235" s="74" t="n"/>
      <c r="H235" s="73">
        <f>IF(OR(E235="",G235=""),"",G235-E235)</f>
        <v/>
      </c>
      <c r="I235" s="63">
        <f>IF(E235="","Not tracked",IF(E235&lt;=3,"Top 3",IF(E235&lt;=10,"Page 1",IF(E235&lt;=20,"Page 2 - near win","Page 3+"))))</f>
        <v/>
      </c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</row>
    <row r="236" ht="15" customHeight="1" s="54">
      <c r="A236" s="63" t="n">
        <v>232</v>
      </c>
      <c r="B236" s="72">
        <f>'Keyword Master'!B236</f>
        <v/>
      </c>
      <c r="C236" s="72">
        <f>'Keyword Master'!C236</f>
        <v/>
      </c>
      <c r="D236" s="72">
        <f>'Keyword Master'!M236</f>
        <v/>
      </c>
      <c r="E236" s="73">
        <f>IFERROR(LOOKUP(9.99E+307,J236:AI236),"")</f>
        <v/>
      </c>
      <c r="F236" s="63">
        <f>IFERROR(SMALL(J236:AI236,1),"")</f>
        <v/>
      </c>
      <c r="G236" s="74" t="n"/>
      <c r="H236" s="73">
        <f>IF(OR(E236="",G236=""),"",G236-E236)</f>
        <v/>
      </c>
      <c r="I236" s="63">
        <f>IF(E236="","Not tracked",IF(E236&lt;=3,"Top 3",IF(E236&lt;=10,"Page 1",IF(E236&lt;=20,"Page 2 - near win","Page 3+"))))</f>
        <v/>
      </c>
      <c r="J236" s="75" t="n"/>
      <c r="K236" s="75" t="n"/>
      <c r="L236" s="75" t="n"/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  <c r="AG236" s="75" t="n"/>
      <c r="AH236" s="75" t="n"/>
      <c r="AI236" s="75" t="n"/>
    </row>
    <row r="237" ht="15" customHeight="1" s="54">
      <c r="A237" s="63" t="n">
        <v>233</v>
      </c>
      <c r="B237" s="72">
        <f>'Keyword Master'!B237</f>
        <v/>
      </c>
      <c r="C237" s="72">
        <f>'Keyword Master'!C237</f>
        <v/>
      </c>
      <c r="D237" s="72">
        <f>'Keyword Master'!M237</f>
        <v/>
      </c>
      <c r="E237" s="73">
        <f>IFERROR(LOOKUP(9.99E+307,J237:AI237),"")</f>
        <v/>
      </c>
      <c r="F237" s="63">
        <f>IFERROR(SMALL(J237:AI237,1),"")</f>
        <v/>
      </c>
      <c r="G237" s="74" t="n"/>
      <c r="H237" s="73">
        <f>IF(OR(E237="",G237=""),"",G237-E237)</f>
        <v/>
      </c>
      <c r="I237" s="63">
        <f>IF(E237="","Not tracked",IF(E237&lt;=3,"Top 3",IF(E237&lt;=10,"Page 1",IF(E237&lt;=20,"Page 2 - near win","Page 3+"))))</f>
        <v/>
      </c>
      <c r="J237" s="75" t="n"/>
      <c r="K237" s="75" t="n"/>
      <c r="L237" s="75" t="n"/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  <c r="AG237" s="75" t="n"/>
      <c r="AH237" s="75" t="n"/>
      <c r="AI237" s="75" t="n"/>
    </row>
    <row r="238" ht="15" customHeight="1" s="54">
      <c r="A238" s="63" t="n">
        <v>234</v>
      </c>
      <c r="B238" s="72">
        <f>'Keyword Master'!B238</f>
        <v/>
      </c>
      <c r="C238" s="72">
        <f>'Keyword Master'!C238</f>
        <v/>
      </c>
      <c r="D238" s="72">
        <f>'Keyword Master'!M238</f>
        <v/>
      </c>
      <c r="E238" s="73">
        <f>IFERROR(LOOKUP(9.99E+307,J238:AI238),"")</f>
        <v/>
      </c>
      <c r="F238" s="63">
        <f>IFERROR(SMALL(J238:AI238,1),"")</f>
        <v/>
      </c>
      <c r="G238" s="74" t="n"/>
      <c r="H238" s="73">
        <f>IF(OR(E238="",G238=""),"",G238-E238)</f>
        <v/>
      </c>
      <c r="I238" s="63">
        <f>IF(E238="","Not tracked",IF(E238&lt;=3,"Top 3",IF(E238&lt;=10,"Page 1",IF(E238&lt;=20,"Page 2 - near win","Page 3+"))))</f>
        <v/>
      </c>
      <c r="J238" s="75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</row>
    <row r="239" ht="15" customHeight="1" s="54">
      <c r="A239" s="63" t="n">
        <v>235</v>
      </c>
      <c r="B239" s="72">
        <f>'Keyword Master'!B239</f>
        <v/>
      </c>
      <c r="C239" s="72">
        <f>'Keyword Master'!C239</f>
        <v/>
      </c>
      <c r="D239" s="72">
        <f>'Keyword Master'!M239</f>
        <v/>
      </c>
      <c r="E239" s="73">
        <f>IFERROR(LOOKUP(9.99E+307,J239:AI239),"")</f>
        <v/>
      </c>
      <c r="F239" s="63">
        <f>IFERROR(SMALL(J239:AI239,1),"")</f>
        <v/>
      </c>
      <c r="G239" s="74" t="n"/>
      <c r="H239" s="73">
        <f>IF(OR(E239="",G239=""),"",G239-E239)</f>
        <v/>
      </c>
      <c r="I239" s="63">
        <f>IF(E239="","Not tracked",IF(E239&lt;=3,"Top 3",IF(E239&lt;=10,"Page 1",IF(E239&lt;=20,"Page 2 - near win","Page 3+"))))</f>
        <v/>
      </c>
      <c r="J239" s="75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</row>
    <row r="240" ht="15" customHeight="1" s="54">
      <c r="A240" s="63" t="n">
        <v>236</v>
      </c>
      <c r="B240" s="72">
        <f>'Keyword Master'!B240</f>
        <v/>
      </c>
      <c r="C240" s="72">
        <f>'Keyword Master'!C240</f>
        <v/>
      </c>
      <c r="D240" s="72">
        <f>'Keyword Master'!M240</f>
        <v/>
      </c>
      <c r="E240" s="73">
        <f>IFERROR(LOOKUP(9.99E+307,J240:AI240),"")</f>
        <v/>
      </c>
      <c r="F240" s="63">
        <f>IFERROR(SMALL(J240:AI240,1),"")</f>
        <v/>
      </c>
      <c r="G240" s="74" t="n"/>
      <c r="H240" s="73">
        <f>IF(OR(E240="",G240=""),"",G240-E240)</f>
        <v/>
      </c>
      <c r="I240" s="63">
        <f>IF(E240="","Not tracked",IF(E240&lt;=3,"Top 3",IF(E240&lt;=10,"Page 1",IF(E240&lt;=20,"Page 2 - near win","Page 3+"))))</f>
        <v/>
      </c>
      <c r="J240" s="75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</row>
    <row r="241" ht="15" customHeight="1" s="54">
      <c r="A241" s="63" t="n">
        <v>237</v>
      </c>
      <c r="B241" s="72">
        <f>'Keyword Master'!B241</f>
        <v/>
      </c>
      <c r="C241" s="72">
        <f>'Keyword Master'!C241</f>
        <v/>
      </c>
      <c r="D241" s="72">
        <f>'Keyword Master'!M241</f>
        <v/>
      </c>
      <c r="E241" s="73">
        <f>IFERROR(LOOKUP(9.99E+307,J241:AI241),"")</f>
        <v/>
      </c>
      <c r="F241" s="63">
        <f>IFERROR(SMALL(J241:AI241,1),"")</f>
        <v/>
      </c>
      <c r="G241" s="74" t="n"/>
      <c r="H241" s="73">
        <f>IF(OR(E241="",G241=""),"",G241-E241)</f>
        <v/>
      </c>
      <c r="I241" s="63">
        <f>IF(E241="","Not tracked",IF(E241&lt;=3,"Top 3",IF(E241&lt;=10,"Page 1",IF(E241&lt;=20,"Page 2 - near win","Page 3+"))))</f>
        <v/>
      </c>
      <c r="J241" s="75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</row>
    <row r="242" ht="15" customHeight="1" s="54">
      <c r="A242" s="63" t="n">
        <v>238</v>
      </c>
      <c r="B242" s="72">
        <f>'Keyword Master'!B242</f>
        <v/>
      </c>
      <c r="C242" s="72">
        <f>'Keyword Master'!C242</f>
        <v/>
      </c>
      <c r="D242" s="72">
        <f>'Keyword Master'!M242</f>
        <v/>
      </c>
      <c r="E242" s="73">
        <f>IFERROR(LOOKUP(9.99E+307,J242:AI242),"")</f>
        <v/>
      </c>
      <c r="F242" s="63">
        <f>IFERROR(SMALL(J242:AI242,1),"")</f>
        <v/>
      </c>
      <c r="G242" s="74" t="n"/>
      <c r="H242" s="73">
        <f>IF(OR(E242="",G242=""),"",G242-E242)</f>
        <v/>
      </c>
      <c r="I242" s="63">
        <f>IF(E242="","Not tracked",IF(E242&lt;=3,"Top 3",IF(E242&lt;=10,"Page 1",IF(E242&lt;=20,"Page 2 - near win","Page 3+"))))</f>
        <v/>
      </c>
      <c r="J242" s="75" t="n"/>
      <c r="K242" s="75" t="n"/>
      <c r="L242" s="75" t="n"/>
      <c r="M242" s="75" t="n"/>
      <c r="N242" s="75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</row>
    <row r="243" ht="15" customHeight="1" s="54">
      <c r="A243" s="63" t="n">
        <v>239</v>
      </c>
      <c r="B243" s="72">
        <f>'Keyword Master'!B243</f>
        <v/>
      </c>
      <c r="C243" s="72">
        <f>'Keyword Master'!C243</f>
        <v/>
      </c>
      <c r="D243" s="72">
        <f>'Keyword Master'!M243</f>
        <v/>
      </c>
      <c r="E243" s="73">
        <f>IFERROR(LOOKUP(9.99E+307,J243:AI243),"")</f>
        <v/>
      </c>
      <c r="F243" s="63">
        <f>IFERROR(SMALL(J243:AI243,1),"")</f>
        <v/>
      </c>
      <c r="G243" s="74" t="n"/>
      <c r="H243" s="73">
        <f>IF(OR(E243="",G243=""),"",G243-E243)</f>
        <v/>
      </c>
      <c r="I243" s="63">
        <f>IF(E243="","Not tracked",IF(E243&lt;=3,"Top 3",IF(E243&lt;=10,"Page 1",IF(E243&lt;=20,"Page 2 - near win","Page 3+"))))</f>
        <v/>
      </c>
      <c r="J243" s="75" t="n"/>
      <c r="K243" s="75" t="n"/>
      <c r="L243" s="75" t="n"/>
      <c r="M243" s="75" t="n"/>
      <c r="N243" s="75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  <c r="AG243" s="75" t="n"/>
      <c r="AH243" s="75" t="n"/>
      <c r="AI243" s="75" t="n"/>
    </row>
    <row r="244" ht="15" customHeight="1" s="54">
      <c r="A244" s="63" t="n">
        <v>240</v>
      </c>
      <c r="B244" s="72">
        <f>'Keyword Master'!B244</f>
        <v/>
      </c>
      <c r="C244" s="72">
        <f>'Keyword Master'!C244</f>
        <v/>
      </c>
      <c r="D244" s="72">
        <f>'Keyword Master'!M244</f>
        <v/>
      </c>
      <c r="E244" s="73">
        <f>IFERROR(LOOKUP(9.99E+307,J244:AI244),"")</f>
        <v/>
      </c>
      <c r="F244" s="63">
        <f>IFERROR(SMALL(J244:AI244,1),"")</f>
        <v/>
      </c>
      <c r="G244" s="74" t="n"/>
      <c r="H244" s="73">
        <f>IF(OR(E244="",G244=""),"",G244-E244)</f>
        <v/>
      </c>
      <c r="I244" s="63">
        <f>IF(E244="","Not tracked",IF(E244&lt;=3,"Top 3",IF(E244&lt;=10,"Page 1",IF(E244&lt;=20,"Page 2 - near win","Page 3+"))))</f>
        <v/>
      </c>
      <c r="J244" s="75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  <c r="AG244" s="75" t="n"/>
      <c r="AH244" s="75" t="n"/>
      <c r="AI244" s="75" t="n"/>
    </row>
    <row r="245" ht="15" customHeight="1" s="54">
      <c r="A245" s="63" t="n">
        <v>241</v>
      </c>
      <c r="B245" s="72">
        <f>'Keyword Master'!B245</f>
        <v/>
      </c>
      <c r="C245" s="72">
        <f>'Keyword Master'!C245</f>
        <v/>
      </c>
      <c r="D245" s="72">
        <f>'Keyword Master'!M245</f>
        <v/>
      </c>
      <c r="E245" s="73">
        <f>IFERROR(LOOKUP(9.99E+307,J245:AI245),"")</f>
        <v/>
      </c>
      <c r="F245" s="63">
        <f>IFERROR(SMALL(J245:AI245,1),"")</f>
        <v/>
      </c>
      <c r="G245" s="74" t="n"/>
      <c r="H245" s="73">
        <f>IF(OR(E245="",G245=""),"",G245-E245)</f>
        <v/>
      </c>
      <c r="I245" s="63">
        <f>IF(E245="","Not tracked",IF(E245&lt;=3,"Top 3",IF(E245&lt;=10,"Page 1",IF(E245&lt;=20,"Page 2 - near win","Page 3+"))))</f>
        <v/>
      </c>
      <c r="J245" s="75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</row>
    <row r="246" ht="15" customHeight="1" s="54">
      <c r="A246" s="63" t="n">
        <v>242</v>
      </c>
      <c r="B246" s="72">
        <f>'Keyword Master'!B246</f>
        <v/>
      </c>
      <c r="C246" s="72">
        <f>'Keyword Master'!C246</f>
        <v/>
      </c>
      <c r="D246" s="72">
        <f>'Keyword Master'!M246</f>
        <v/>
      </c>
      <c r="E246" s="73">
        <f>IFERROR(LOOKUP(9.99E+307,J246:AI246),"")</f>
        <v/>
      </c>
      <c r="F246" s="63">
        <f>IFERROR(SMALL(J246:AI246,1),"")</f>
        <v/>
      </c>
      <c r="G246" s="74" t="n"/>
      <c r="H246" s="73">
        <f>IF(OR(E246="",G246=""),"",G246-E246)</f>
        <v/>
      </c>
      <c r="I246" s="63">
        <f>IF(E246="","Not tracked",IF(E246&lt;=3,"Top 3",IF(E246&lt;=10,"Page 1",IF(E246&lt;=20,"Page 2 - near win","Page 3+"))))</f>
        <v/>
      </c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</row>
    <row r="247" ht="15" customHeight="1" s="54">
      <c r="A247" s="63" t="n">
        <v>243</v>
      </c>
      <c r="B247" s="72">
        <f>'Keyword Master'!B247</f>
        <v/>
      </c>
      <c r="C247" s="72">
        <f>'Keyword Master'!C247</f>
        <v/>
      </c>
      <c r="D247" s="72">
        <f>'Keyword Master'!M247</f>
        <v/>
      </c>
      <c r="E247" s="73">
        <f>IFERROR(LOOKUP(9.99E+307,J247:AI247),"")</f>
        <v/>
      </c>
      <c r="F247" s="63">
        <f>IFERROR(SMALL(J247:AI247,1),"")</f>
        <v/>
      </c>
      <c r="G247" s="74" t="n"/>
      <c r="H247" s="73">
        <f>IF(OR(E247="",G247=""),"",G247-E247)</f>
        <v/>
      </c>
      <c r="I247" s="63">
        <f>IF(E247="","Not tracked",IF(E247&lt;=3,"Top 3",IF(E247&lt;=10,"Page 1",IF(E247&lt;=20,"Page 2 - near win","Page 3+"))))</f>
        <v/>
      </c>
      <c r="J247" s="75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  <c r="AG247" s="75" t="n"/>
      <c r="AH247" s="75" t="n"/>
      <c r="AI247" s="75" t="n"/>
    </row>
    <row r="248" ht="15" customHeight="1" s="54">
      <c r="A248" s="63" t="n">
        <v>244</v>
      </c>
      <c r="B248" s="72">
        <f>'Keyword Master'!B248</f>
        <v/>
      </c>
      <c r="C248" s="72">
        <f>'Keyword Master'!C248</f>
        <v/>
      </c>
      <c r="D248" s="72">
        <f>'Keyword Master'!M248</f>
        <v/>
      </c>
      <c r="E248" s="73">
        <f>IFERROR(LOOKUP(9.99E+307,J248:AI248),"")</f>
        <v/>
      </c>
      <c r="F248" s="63">
        <f>IFERROR(SMALL(J248:AI248,1),"")</f>
        <v/>
      </c>
      <c r="G248" s="74" t="n"/>
      <c r="H248" s="73">
        <f>IF(OR(E248="",G248=""),"",G248-E248)</f>
        <v/>
      </c>
      <c r="I248" s="63">
        <f>IF(E248="","Not tracked",IF(E248&lt;=3,"Top 3",IF(E248&lt;=10,"Page 1",IF(E248&lt;=20,"Page 2 - near win","Page 3+"))))</f>
        <v/>
      </c>
      <c r="J248" s="75" t="n"/>
      <c r="K248" s="75" t="n"/>
      <c r="L248" s="75" t="n"/>
      <c r="M248" s="75" t="n"/>
      <c r="N248" s="75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  <c r="AG248" s="75" t="n"/>
      <c r="AH248" s="75" t="n"/>
      <c r="AI248" s="75" t="n"/>
    </row>
    <row r="249" ht="15" customHeight="1" s="54">
      <c r="A249" s="63" t="n">
        <v>245</v>
      </c>
      <c r="B249" s="72">
        <f>'Keyword Master'!B249</f>
        <v/>
      </c>
      <c r="C249" s="72">
        <f>'Keyword Master'!C249</f>
        <v/>
      </c>
      <c r="D249" s="72">
        <f>'Keyword Master'!M249</f>
        <v/>
      </c>
      <c r="E249" s="73">
        <f>IFERROR(LOOKUP(9.99E+307,J249:AI249),"")</f>
        <v/>
      </c>
      <c r="F249" s="63">
        <f>IFERROR(SMALL(J249:AI249,1),"")</f>
        <v/>
      </c>
      <c r="G249" s="74" t="n"/>
      <c r="H249" s="73">
        <f>IF(OR(E249="",G249=""),"",G249-E249)</f>
        <v/>
      </c>
      <c r="I249" s="63">
        <f>IF(E249="","Not tracked",IF(E249&lt;=3,"Top 3",IF(E249&lt;=10,"Page 1",IF(E249&lt;=20,"Page 2 - near win","Page 3+"))))</f>
        <v/>
      </c>
      <c r="J249" s="75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</row>
    <row r="250" ht="15" customHeight="1" s="54">
      <c r="A250" s="63" t="n">
        <v>246</v>
      </c>
      <c r="B250" s="72">
        <f>'Keyword Master'!B250</f>
        <v/>
      </c>
      <c r="C250" s="72">
        <f>'Keyword Master'!C250</f>
        <v/>
      </c>
      <c r="D250" s="72">
        <f>'Keyword Master'!M250</f>
        <v/>
      </c>
      <c r="E250" s="73">
        <f>IFERROR(LOOKUP(9.99E+307,J250:AI250),"")</f>
        <v/>
      </c>
      <c r="F250" s="63">
        <f>IFERROR(SMALL(J250:AI250,1),"")</f>
        <v/>
      </c>
      <c r="G250" s="74" t="n"/>
      <c r="H250" s="73">
        <f>IF(OR(E250="",G250=""),"",G250-E250)</f>
        <v/>
      </c>
      <c r="I250" s="63">
        <f>IF(E250="","Not tracked",IF(E250&lt;=3,"Top 3",IF(E250&lt;=10,"Page 1",IF(E250&lt;=20,"Page 2 - near win","Page 3+"))))</f>
        <v/>
      </c>
      <c r="J250" s="75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</row>
    <row r="251" ht="15" customHeight="1" s="54">
      <c r="A251" s="63" t="n">
        <v>247</v>
      </c>
      <c r="B251" s="72">
        <f>'Keyword Master'!B251</f>
        <v/>
      </c>
      <c r="C251" s="72">
        <f>'Keyword Master'!C251</f>
        <v/>
      </c>
      <c r="D251" s="72">
        <f>'Keyword Master'!M251</f>
        <v/>
      </c>
      <c r="E251" s="73">
        <f>IFERROR(LOOKUP(9.99E+307,J251:AI251),"")</f>
        <v/>
      </c>
      <c r="F251" s="63">
        <f>IFERROR(SMALL(J251:AI251,1),"")</f>
        <v/>
      </c>
      <c r="G251" s="74" t="n"/>
      <c r="H251" s="73">
        <f>IF(OR(E251="",G251=""),"",G251-E251)</f>
        <v/>
      </c>
      <c r="I251" s="63">
        <f>IF(E251="","Not tracked",IF(E251&lt;=3,"Top 3",IF(E251&lt;=10,"Page 1",IF(E251&lt;=20,"Page 2 - near win","Page 3+"))))</f>
        <v/>
      </c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</row>
    <row r="252" ht="15" customHeight="1" s="54">
      <c r="A252" s="63" t="n">
        <v>248</v>
      </c>
      <c r="B252" s="72">
        <f>'Keyword Master'!B252</f>
        <v/>
      </c>
      <c r="C252" s="72">
        <f>'Keyword Master'!C252</f>
        <v/>
      </c>
      <c r="D252" s="72">
        <f>'Keyword Master'!M252</f>
        <v/>
      </c>
      <c r="E252" s="73">
        <f>IFERROR(LOOKUP(9.99E+307,J252:AI252),"")</f>
        <v/>
      </c>
      <c r="F252" s="63">
        <f>IFERROR(SMALL(J252:AI252,1),"")</f>
        <v/>
      </c>
      <c r="G252" s="74" t="n"/>
      <c r="H252" s="73">
        <f>IF(OR(E252="",G252=""),"",G252-E252)</f>
        <v/>
      </c>
      <c r="I252" s="63">
        <f>IF(E252="","Not tracked",IF(E252&lt;=3,"Top 3",IF(E252&lt;=10,"Page 1",IF(E252&lt;=20,"Page 2 - near win","Page 3+"))))</f>
        <v/>
      </c>
      <c r="J252" s="75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</row>
    <row r="253" ht="15" customHeight="1" s="54">
      <c r="A253" s="63" t="n">
        <v>249</v>
      </c>
      <c r="B253" s="72">
        <f>'Keyword Master'!B253</f>
        <v/>
      </c>
      <c r="C253" s="72">
        <f>'Keyword Master'!C253</f>
        <v/>
      </c>
      <c r="D253" s="72">
        <f>'Keyword Master'!M253</f>
        <v/>
      </c>
      <c r="E253" s="73">
        <f>IFERROR(LOOKUP(9.99E+307,J253:AI253),"")</f>
        <v/>
      </c>
      <c r="F253" s="63">
        <f>IFERROR(SMALL(J253:AI253,1),"")</f>
        <v/>
      </c>
      <c r="G253" s="74" t="n"/>
      <c r="H253" s="73">
        <f>IF(OR(E253="",G253=""),"",G253-E253)</f>
        <v/>
      </c>
      <c r="I253" s="63">
        <f>IF(E253="","Not tracked",IF(E253&lt;=3,"Top 3",IF(E253&lt;=10,"Page 1",IF(E253&lt;=20,"Page 2 - near win","Page 3+"))))</f>
        <v/>
      </c>
      <c r="J253" s="75" t="n"/>
      <c r="K253" s="75" t="n"/>
      <c r="L253" s="75" t="n"/>
      <c r="M253" s="75" t="n"/>
      <c r="N253" s="75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  <c r="AG253" s="75" t="n"/>
      <c r="AH253" s="75" t="n"/>
      <c r="AI253" s="75" t="n"/>
    </row>
    <row r="254" ht="15" customHeight="1" s="54">
      <c r="A254" s="63" t="n">
        <v>250</v>
      </c>
      <c r="B254" s="72">
        <f>'Keyword Master'!B254</f>
        <v/>
      </c>
      <c r="C254" s="72">
        <f>'Keyword Master'!C254</f>
        <v/>
      </c>
      <c r="D254" s="72">
        <f>'Keyword Master'!M254</f>
        <v/>
      </c>
      <c r="E254" s="73">
        <f>IFERROR(LOOKUP(9.99E+307,J254:AI254),"")</f>
        <v/>
      </c>
      <c r="F254" s="63">
        <f>IFERROR(SMALL(J254:AI254,1),"")</f>
        <v/>
      </c>
      <c r="G254" s="74" t="n"/>
      <c r="H254" s="73">
        <f>IF(OR(E254="",G254=""),"",G254-E254)</f>
        <v/>
      </c>
      <c r="I254" s="63">
        <f>IF(E254="","Not tracked",IF(E254&lt;=3,"Top 3",IF(E254&lt;=10,"Page 1",IF(E254&lt;=20,"Page 2 - near win","Page 3+"))))</f>
        <v/>
      </c>
      <c r="J254" s="75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  <c r="AG254" s="75" t="n"/>
      <c r="AH254" s="75" t="n"/>
      <c r="AI254" s="75" t="n"/>
    </row>
    <row r="255" ht="15" customHeight="1" s="54">
      <c r="A255" s="63" t="n">
        <v>251</v>
      </c>
      <c r="B255" s="72">
        <f>'Keyword Master'!B255</f>
        <v/>
      </c>
      <c r="C255" s="72">
        <f>'Keyword Master'!C255</f>
        <v/>
      </c>
      <c r="D255" s="72">
        <f>'Keyword Master'!M255</f>
        <v/>
      </c>
      <c r="E255" s="73">
        <f>IFERROR(LOOKUP(9.99E+307,J255:AI255),"")</f>
        <v/>
      </c>
      <c r="F255" s="63">
        <f>IFERROR(SMALL(J255:AI255,1),"")</f>
        <v/>
      </c>
      <c r="G255" s="74" t="n"/>
      <c r="H255" s="73">
        <f>IF(OR(E255="",G255=""),"",G255-E255)</f>
        <v/>
      </c>
      <c r="I255" s="63">
        <f>IF(E255="","Not tracked",IF(E255&lt;=3,"Top 3",IF(E255&lt;=10,"Page 1",IF(E255&lt;=20,"Page 2 - near win","Page 3+"))))</f>
        <v/>
      </c>
      <c r="J255" s="75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</row>
    <row r="256" ht="15" customHeight="1" s="54">
      <c r="A256" s="63" t="n">
        <v>252</v>
      </c>
      <c r="B256" s="72">
        <f>'Keyword Master'!B256</f>
        <v/>
      </c>
      <c r="C256" s="72">
        <f>'Keyword Master'!C256</f>
        <v/>
      </c>
      <c r="D256" s="72">
        <f>'Keyword Master'!M256</f>
        <v/>
      </c>
      <c r="E256" s="73">
        <f>IFERROR(LOOKUP(9.99E+307,J256:AI256),"")</f>
        <v/>
      </c>
      <c r="F256" s="63">
        <f>IFERROR(SMALL(J256:AI256,1),"")</f>
        <v/>
      </c>
      <c r="G256" s="74" t="n"/>
      <c r="H256" s="73">
        <f>IF(OR(E256="",G256=""),"",G256-E256)</f>
        <v/>
      </c>
      <c r="I256" s="63">
        <f>IF(E256="","Not tracked",IF(E256&lt;=3,"Top 3",IF(E256&lt;=10,"Page 1",IF(E256&lt;=20,"Page 2 - near win","Page 3+"))))</f>
        <v/>
      </c>
      <c r="J256" s="75" t="n"/>
      <c r="K256" s="75" t="n"/>
      <c r="L256" s="75" t="n"/>
      <c r="M256" s="75" t="n"/>
      <c r="N256" s="75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</row>
    <row r="257" ht="15" customHeight="1" s="54">
      <c r="A257" s="63" t="n">
        <v>253</v>
      </c>
      <c r="B257" s="72">
        <f>'Keyword Master'!B257</f>
        <v/>
      </c>
      <c r="C257" s="72">
        <f>'Keyword Master'!C257</f>
        <v/>
      </c>
      <c r="D257" s="72">
        <f>'Keyword Master'!M257</f>
        <v/>
      </c>
      <c r="E257" s="73">
        <f>IFERROR(LOOKUP(9.99E+307,J257:AI257),"")</f>
        <v/>
      </c>
      <c r="F257" s="63">
        <f>IFERROR(SMALL(J257:AI257,1),"")</f>
        <v/>
      </c>
      <c r="G257" s="74" t="n"/>
      <c r="H257" s="73">
        <f>IF(OR(E257="",G257=""),"",G257-E257)</f>
        <v/>
      </c>
      <c r="I257" s="63">
        <f>IF(E257="","Not tracked",IF(E257&lt;=3,"Top 3",IF(E257&lt;=10,"Page 1",IF(E257&lt;=20,"Page 2 - near win","Page 3+"))))</f>
        <v/>
      </c>
      <c r="J257" s="75" t="n"/>
      <c r="K257" s="75" t="n"/>
      <c r="L257" s="75" t="n"/>
      <c r="M257" s="75" t="n"/>
      <c r="N257" s="75" t="n"/>
      <c r="O257" s="75" t="n"/>
      <c r="P257" s="75" t="n"/>
      <c r="Q257" s="75" t="n"/>
      <c r="R257" s="75" t="n"/>
      <c r="S257" s="75" t="n"/>
      <c r="T257" s="75" t="n"/>
      <c r="U257" s="75" t="n"/>
      <c r="V257" s="75" t="n"/>
      <c r="W257" s="75" t="n"/>
      <c r="X257" s="75" t="n"/>
      <c r="Y257" s="75" t="n"/>
      <c r="Z257" s="75" t="n"/>
      <c r="AA257" s="75" t="n"/>
      <c r="AB257" s="75" t="n"/>
      <c r="AC257" s="75" t="n"/>
      <c r="AD257" s="75" t="n"/>
      <c r="AE257" s="75" t="n"/>
      <c r="AF257" s="75" t="n"/>
      <c r="AG257" s="75" t="n"/>
      <c r="AH257" s="75" t="n"/>
      <c r="AI257" s="75" t="n"/>
    </row>
    <row r="258" ht="15" customHeight="1" s="54">
      <c r="A258" s="63" t="n">
        <v>254</v>
      </c>
      <c r="B258" s="72">
        <f>'Keyword Master'!B258</f>
        <v/>
      </c>
      <c r="C258" s="72">
        <f>'Keyword Master'!C258</f>
        <v/>
      </c>
      <c r="D258" s="72">
        <f>'Keyword Master'!M258</f>
        <v/>
      </c>
      <c r="E258" s="73">
        <f>IFERROR(LOOKUP(9.99E+307,J258:AI258),"")</f>
        <v/>
      </c>
      <c r="F258" s="63">
        <f>IFERROR(SMALL(J258:AI258,1),"")</f>
        <v/>
      </c>
      <c r="G258" s="74" t="n"/>
      <c r="H258" s="73">
        <f>IF(OR(E258="",G258=""),"",G258-E258)</f>
        <v/>
      </c>
      <c r="I258" s="63">
        <f>IF(E258="","Not tracked",IF(E258&lt;=3,"Top 3",IF(E258&lt;=10,"Page 1",IF(E258&lt;=20,"Page 2 - near win","Page 3+"))))</f>
        <v/>
      </c>
      <c r="J258" s="75" t="n"/>
      <c r="K258" s="75" t="n"/>
      <c r="L258" s="75" t="n"/>
      <c r="M258" s="75" t="n"/>
      <c r="N258" s="75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  <c r="AG258" s="75" t="n"/>
      <c r="AH258" s="75" t="n"/>
      <c r="AI258" s="75" t="n"/>
    </row>
    <row r="259" ht="15" customHeight="1" s="54">
      <c r="A259" s="63" t="n">
        <v>255</v>
      </c>
      <c r="B259" s="72">
        <f>'Keyword Master'!B259</f>
        <v/>
      </c>
      <c r="C259" s="72">
        <f>'Keyword Master'!C259</f>
        <v/>
      </c>
      <c r="D259" s="72">
        <f>'Keyword Master'!M259</f>
        <v/>
      </c>
      <c r="E259" s="73">
        <f>IFERROR(LOOKUP(9.99E+307,J259:AI259),"")</f>
        <v/>
      </c>
      <c r="F259" s="63">
        <f>IFERROR(SMALL(J259:AI259,1),"")</f>
        <v/>
      </c>
      <c r="G259" s="74" t="n"/>
      <c r="H259" s="73">
        <f>IF(OR(E259="",G259=""),"",G259-E259)</f>
        <v/>
      </c>
      <c r="I259" s="63">
        <f>IF(E259="","Not tracked",IF(E259&lt;=3,"Top 3",IF(E259&lt;=10,"Page 1",IF(E259&lt;=20,"Page 2 - near win","Page 3+"))))</f>
        <v/>
      </c>
      <c r="J259" s="75" t="n"/>
      <c r="K259" s="75" t="n"/>
      <c r="L259" s="75" t="n"/>
      <c r="M259" s="75" t="n"/>
      <c r="N259" s="75" t="n"/>
      <c r="O259" s="75" t="n"/>
      <c r="P259" s="75" t="n"/>
      <c r="Q259" s="75" t="n"/>
      <c r="R259" s="75" t="n"/>
      <c r="S259" s="75" t="n"/>
      <c r="T259" s="75" t="n"/>
      <c r="U259" s="75" t="n"/>
      <c r="V259" s="75" t="n"/>
      <c r="W259" s="75" t="n"/>
      <c r="X259" s="75" t="n"/>
      <c r="Y259" s="75" t="n"/>
      <c r="Z259" s="75" t="n"/>
      <c r="AA259" s="75" t="n"/>
      <c r="AB259" s="75" t="n"/>
      <c r="AC259" s="75" t="n"/>
      <c r="AD259" s="75" t="n"/>
      <c r="AE259" s="75" t="n"/>
      <c r="AF259" s="75" t="n"/>
      <c r="AG259" s="75" t="n"/>
      <c r="AH259" s="75" t="n"/>
      <c r="AI259" s="75" t="n"/>
    </row>
    <row r="260" ht="15" customHeight="1" s="54">
      <c r="A260" s="63" t="n">
        <v>256</v>
      </c>
      <c r="B260" s="72">
        <f>'Keyword Master'!B260</f>
        <v/>
      </c>
      <c r="C260" s="72">
        <f>'Keyword Master'!C260</f>
        <v/>
      </c>
      <c r="D260" s="72">
        <f>'Keyword Master'!M260</f>
        <v/>
      </c>
      <c r="E260" s="73">
        <f>IFERROR(LOOKUP(9.99E+307,J260:AI260),"")</f>
        <v/>
      </c>
      <c r="F260" s="63">
        <f>IFERROR(SMALL(J260:AI260,1),"")</f>
        <v/>
      </c>
      <c r="G260" s="74" t="n"/>
      <c r="H260" s="73">
        <f>IF(OR(E260="",G260=""),"",G260-E260)</f>
        <v/>
      </c>
      <c r="I260" s="63">
        <f>IF(E260="","Not tracked",IF(E260&lt;=3,"Top 3",IF(E260&lt;=10,"Page 1",IF(E260&lt;=20,"Page 2 - near win","Page 3+"))))</f>
        <v/>
      </c>
      <c r="J260" s="75" t="n"/>
      <c r="K260" s="75" t="n"/>
      <c r="L260" s="75" t="n"/>
      <c r="M260" s="75" t="n"/>
      <c r="N260" s="75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</row>
    <row r="261" ht="15" customHeight="1" s="54">
      <c r="A261" s="63" t="n">
        <v>257</v>
      </c>
      <c r="B261" s="72">
        <f>'Keyword Master'!B261</f>
        <v/>
      </c>
      <c r="C261" s="72">
        <f>'Keyword Master'!C261</f>
        <v/>
      </c>
      <c r="D261" s="72">
        <f>'Keyword Master'!M261</f>
        <v/>
      </c>
      <c r="E261" s="73">
        <f>IFERROR(LOOKUP(9.99E+307,J261:AI261),"")</f>
        <v/>
      </c>
      <c r="F261" s="63">
        <f>IFERROR(SMALL(J261:AI261,1),"")</f>
        <v/>
      </c>
      <c r="G261" s="74" t="n"/>
      <c r="H261" s="73">
        <f>IF(OR(E261="",G261=""),"",G261-E261)</f>
        <v/>
      </c>
      <c r="I261" s="63">
        <f>IF(E261="","Not tracked",IF(E261&lt;=3,"Top 3",IF(E261&lt;=10,"Page 1",IF(E261&lt;=20,"Page 2 - near win","Page 3+"))))</f>
        <v/>
      </c>
      <c r="J261" s="75" t="n"/>
      <c r="K261" s="75" t="n"/>
      <c r="L261" s="75" t="n"/>
      <c r="M261" s="75" t="n"/>
      <c r="N261" s="75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</row>
    <row r="262" ht="15" customHeight="1" s="54">
      <c r="A262" s="63" t="n">
        <v>258</v>
      </c>
      <c r="B262" s="72">
        <f>'Keyword Master'!B262</f>
        <v/>
      </c>
      <c r="C262" s="72">
        <f>'Keyword Master'!C262</f>
        <v/>
      </c>
      <c r="D262" s="72">
        <f>'Keyword Master'!M262</f>
        <v/>
      </c>
      <c r="E262" s="73">
        <f>IFERROR(LOOKUP(9.99E+307,J262:AI262),"")</f>
        <v/>
      </c>
      <c r="F262" s="63">
        <f>IFERROR(SMALL(J262:AI262,1),"")</f>
        <v/>
      </c>
      <c r="G262" s="74" t="n"/>
      <c r="H262" s="73">
        <f>IF(OR(E262="",G262=""),"",G262-E262)</f>
        <v/>
      </c>
      <c r="I262" s="63">
        <f>IF(E262="","Not tracked",IF(E262&lt;=3,"Top 3",IF(E262&lt;=10,"Page 1",IF(E262&lt;=20,"Page 2 - near win","Page 3+"))))</f>
        <v/>
      </c>
      <c r="J262" s="75" t="n"/>
      <c r="K262" s="75" t="n"/>
      <c r="L262" s="75" t="n"/>
      <c r="M262" s="75" t="n"/>
      <c r="N262" s="75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</row>
    <row r="263" ht="15" customHeight="1" s="54">
      <c r="A263" s="63" t="n">
        <v>259</v>
      </c>
      <c r="B263" s="72">
        <f>'Keyword Master'!B263</f>
        <v/>
      </c>
      <c r="C263" s="72">
        <f>'Keyword Master'!C263</f>
        <v/>
      </c>
      <c r="D263" s="72">
        <f>'Keyword Master'!M263</f>
        <v/>
      </c>
      <c r="E263" s="73">
        <f>IFERROR(LOOKUP(9.99E+307,J263:AI263),"")</f>
        <v/>
      </c>
      <c r="F263" s="63">
        <f>IFERROR(SMALL(J263:AI263,1),"")</f>
        <v/>
      </c>
      <c r="G263" s="74" t="n"/>
      <c r="H263" s="73">
        <f>IF(OR(E263="",G263=""),"",G263-E263)</f>
        <v/>
      </c>
      <c r="I263" s="63">
        <f>IF(E263="","Not tracked",IF(E263&lt;=3,"Top 3",IF(E263&lt;=10,"Page 1",IF(E263&lt;=20,"Page 2 - near win","Page 3+"))))</f>
        <v/>
      </c>
      <c r="J263" s="75" t="n"/>
      <c r="K263" s="75" t="n"/>
      <c r="L263" s="75" t="n"/>
      <c r="M263" s="75" t="n"/>
      <c r="N263" s="75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</row>
    <row r="264" ht="15" customHeight="1" s="54">
      <c r="A264" s="63" t="n">
        <v>260</v>
      </c>
      <c r="B264" s="72">
        <f>'Keyword Master'!B264</f>
        <v/>
      </c>
      <c r="C264" s="72">
        <f>'Keyword Master'!C264</f>
        <v/>
      </c>
      <c r="D264" s="72">
        <f>'Keyword Master'!M264</f>
        <v/>
      </c>
      <c r="E264" s="73">
        <f>IFERROR(LOOKUP(9.99E+307,J264:AI264),"")</f>
        <v/>
      </c>
      <c r="F264" s="63">
        <f>IFERROR(SMALL(J264:AI264,1),"")</f>
        <v/>
      </c>
      <c r="G264" s="74" t="n"/>
      <c r="H264" s="73">
        <f>IF(OR(E264="",G264=""),"",G264-E264)</f>
        <v/>
      </c>
      <c r="I264" s="63">
        <f>IF(E264="","Not tracked",IF(E264&lt;=3,"Top 3",IF(E264&lt;=10,"Page 1",IF(E264&lt;=20,"Page 2 - near win","Page 3+"))))</f>
        <v/>
      </c>
      <c r="J264" s="75" t="n"/>
      <c r="K264" s="75" t="n"/>
      <c r="L264" s="75" t="n"/>
      <c r="M264" s="75" t="n"/>
      <c r="N264" s="75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  <c r="AG264" s="75" t="n"/>
      <c r="AH264" s="75" t="n"/>
      <c r="AI264" s="75" t="n"/>
    </row>
    <row r="265" ht="15" customHeight="1" s="54">
      <c r="A265" s="63" t="n">
        <v>261</v>
      </c>
      <c r="B265" s="72">
        <f>'Keyword Master'!B265</f>
        <v/>
      </c>
      <c r="C265" s="72">
        <f>'Keyword Master'!C265</f>
        <v/>
      </c>
      <c r="D265" s="72">
        <f>'Keyword Master'!M265</f>
        <v/>
      </c>
      <c r="E265" s="73">
        <f>IFERROR(LOOKUP(9.99E+307,J265:AI265),"")</f>
        <v/>
      </c>
      <c r="F265" s="63">
        <f>IFERROR(SMALL(J265:AI265,1),"")</f>
        <v/>
      </c>
      <c r="G265" s="74" t="n"/>
      <c r="H265" s="73">
        <f>IF(OR(E265="",G265=""),"",G265-E265)</f>
        <v/>
      </c>
      <c r="I265" s="63">
        <f>IF(E265="","Not tracked",IF(E265&lt;=3,"Top 3",IF(E265&lt;=10,"Page 1",IF(E265&lt;=20,"Page 2 - near win","Page 3+"))))</f>
        <v/>
      </c>
      <c r="J265" s="75" t="n"/>
      <c r="K265" s="75" t="n"/>
      <c r="L265" s="75" t="n"/>
      <c r="M265" s="75" t="n"/>
      <c r="N265" s="75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  <c r="AG265" s="75" t="n"/>
      <c r="AH265" s="75" t="n"/>
      <c r="AI265" s="75" t="n"/>
    </row>
    <row r="267" ht="15" customHeight="1" s="54">
      <c r="B267" s="76" t="inlineStr">
        <is>
          <t>EXAMPLE (delete before use):</t>
        </is>
      </c>
      <c r="C267" s="56" t="inlineStr">
        <is>
          <t>scrap baling press machine</t>
        </is>
      </c>
      <c r="J267" s="77" t="n">
        <v>38</v>
      </c>
      <c r="K267" s="77" t="n">
        <v>34</v>
      </c>
      <c r="L267" s="77" t="n">
        <v>29</v>
      </c>
      <c r="M267" s="77" t="n">
        <v>24</v>
      </c>
      <c r="N267" s="77" t="n">
        <v>19</v>
      </c>
      <c r="O267" s="77" t="n">
        <v>15</v>
      </c>
      <c r="P267" s="77" t="n">
        <v>11</v>
      </c>
    </row>
  </sheetData>
  <autoFilter ref="A4:I265"/>
  <conditionalFormatting sqref="J5:AI265">
    <cfRule type="cellIs" rank="0" priority="2" equalAverage="0" operator="between" aboveAverage="0" dxfId="165" text="" percent="0" bottom="0">
      <formula>1</formula>
      <formula>10</formula>
    </cfRule>
    <cfRule type="cellIs" rank="0" priority="3" equalAverage="0" operator="between" aboveAverage="0" dxfId="166" text="" percent="0" bottom="0">
      <formula>11</formula>
      <formula>20</formula>
    </cfRule>
    <cfRule type="cellIs" rank="0" priority="4" equalAverage="0" operator="greaterThan" aboveAverage="0" dxfId="167" text="" percent="0" bottom="0">
      <formula>20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53" min="1" max="1"/>
    <col width="38" customWidth="1" style="53" min="2" max="2"/>
    <col width="42" customWidth="1" style="53" min="3" max="3"/>
    <col width="13" customWidth="1" style="53" min="4" max="4"/>
    <col width="10" customWidth="1" style="53" min="5" max="6"/>
    <col width="13" customWidth="1" style="53" min="7" max="7"/>
    <col width="11" customWidth="1" style="53" min="8" max="8"/>
    <col width="15" customWidth="1" style="53" min="9" max="9"/>
    <col width="38" customWidth="1" style="53" min="10" max="10"/>
  </cols>
  <sheetData>
    <row r="1" ht="17.25" customHeight="1" s="54">
      <c r="A1" s="61" t="inlineStr">
        <is>
          <t>TRAFFIC &amp; CONVERSIONS BY LANDING PAGE</t>
        </is>
      </c>
    </row>
    <row r="2" ht="15" customHeight="1" s="54">
      <c r="A2" s="56" t="inlineStr">
        <is>
          <t>Paste weekly figures from Google Search Console and your enquiry inbox / CRM. Yellow = your input.</t>
        </is>
      </c>
    </row>
    <row r="4" ht="31.5" customHeight="1" s="54">
      <c r="A4" s="62" t="inlineStr">
        <is>
          <t>Week Starting</t>
        </is>
      </c>
      <c r="B4" s="62" t="inlineStr">
        <is>
          <t>Landing Page / URL</t>
        </is>
      </c>
      <c r="C4" s="62" t="inlineStr">
        <is>
          <t>Primary Keyword</t>
        </is>
      </c>
      <c r="D4" s="62" t="inlineStr">
        <is>
          <t>Impressions</t>
        </is>
      </c>
      <c r="E4" s="62" t="inlineStr">
        <is>
          <t>Clicks</t>
        </is>
      </c>
      <c r="F4" s="62" t="inlineStr">
        <is>
          <t>CTR %</t>
        </is>
      </c>
      <c r="G4" s="62" t="inlineStr">
        <is>
          <t>Avg Position</t>
        </is>
      </c>
      <c r="H4" s="62" t="inlineStr">
        <is>
          <t>Enquiries</t>
        </is>
      </c>
      <c r="I4" s="62" t="inlineStr">
        <is>
          <t>Enquiry Rate %</t>
        </is>
      </c>
      <c r="J4" s="62" t="inlineStr">
        <is>
          <t>Notes</t>
        </is>
      </c>
    </row>
    <row r="5" ht="15" customHeight="1" s="54">
      <c r="A5" s="78" t="inlineStr">
        <is>
          <t>2026-08-03</t>
        </is>
      </c>
      <c r="B5" s="78" t="inlineStr">
        <is>
          <t>/blog/types-of-scrap-baling-machines</t>
        </is>
      </c>
      <c r="C5" s="78" t="inlineStr">
        <is>
          <t>types of scrap baling machines</t>
        </is>
      </c>
      <c r="D5" s="78" t="n">
        <v>1240</v>
      </c>
      <c r="E5" s="78" t="n">
        <v>63</v>
      </c>
      <c r="F5" s="79">
        <f>IFERROR(E5/D5,"")</f>
        <v/>
      </c>
      <c r="G5" s="78" t="n">
        <v>18.4</v>
      </c>
      <c r="H5" s="78" t="n">
        <v>4</v>
      </c>
      <c r="I5" s="79">
        <f>IFERROR(H5/E5,"")</f>
        <v/>
      </c>
      <c r="J5" s="78" t="inlineStr">
        <is>
          <t>EXAMPLE ROW — delete before use</t>
        </is>
      </c>
    </row>
    <row r="6" ht="15" customHeight="1" s="54">
      <c r="A6" s="80" t="n"/>
      <c r="B6" s="80" t="n"/>
      <c r="C6" s="80" t="n"/>
      <c r="D6" s="80" t="n"/>
      <c r="E6" s="80" t="n"/>
      <c r="F6" s="81">
        <f>IFERROR(E6/D6,"")</f>
        <v/>
      </c>
      <c r="G6" s="80" t="n"/>
      <c r="H6" s="80" t="n"/>
      <c r="I6" s="81">
        <f>IFERROR(H6/E6,"")</f>
        <v/>
      </c>
      <c r="J6" s="80" t="n"/>
    </row>
    <row r="7" ht="15" customHeight="1" s="54">
      <c r="A7" s="80" t="n"/>
      <c r="B7" s="80" t="n"/>
      <c r="C7" s="80" t="n"/>
      <c r="D7" s="80" t="n"/>
      <c r="E7" s="80" t="n"/>
      <c r="F7" s="81">
        <f>IFERROR(E7/D7,"")</f>
        <v/>
      </c>
      <c r="G7" s="80" t="n"/>
      <c r="H7" s="80" t="n"/>
      <c r="I7" s="81">
        <f>IFERROR(H7/E7,"")</f>
        <v/>
      </c>
      <c r="J7" s="80" t="n"/>
    </row>
    <row r="8" ht="15" customHeight="1" s="54">
      <c r="A8" s="80" t="n"/>
      <c r="B8" s="80" t="n"/>
      <c r="C8" s="80" t="n"/>
      <c r="D8" s="80" t="n"/>
      <c r="E8" s="80" t="n"/>
      <c r="F8" s="81">
        <f>IFERROR(E8/D8,"")</f>
        <v/>
      </c>
      <c r="G8" s="80" t="n"/>
      <c r="H8" s="80" t="n"/>
      <c r="I8" s="81">
        <f>IFERROR(H8/E8,"")</f>
        <v/>
      </c>
      <c r="J8" s="80" t="n"/>
    </row>
    <row r="9" ht="15" customHeight="1" s="54">
      <c r="A9" s="80" t="n"/>
      <c r="B9" s="80" t="n"/>
      <c r="C9" s="80" t="n"/>
      <c r="D9" s="80" t="n"/>
      <c r="E9" s="80" t="n"/>
      <c r="F9" s="81">
        <f>IFERROR(E9/D9,"")</f>
        <v/>
      </c>
      <c r="G9" s="80" t="n"/>
      <c r="H9" s="80" t="n"/>
      <c r="I9" s="81">
        <f>IFERROR(H9/E9,"")</f>
        <v/>
      </c>
      <c r="J9" s="80" t="n"/>
    </row>
    <row r="10" ht="15" customHeight="1" s="54">
      <c r="A10" s="80" t="n"/>
      <c r="B10" s="80" t="n"/>
      <c r="C10" s="80" t="n"/>
      <c r="D10" s="80" t="n"/>
      <c r="E10" s="80" t="n"/>
      <c r="F10" s="81">
        <f>IFERROR(E10/D10,"")</f>
        <v/>
      </c>
      <c r="G10" s="80" t="n"/>
      <c r="H10" s="80" t="n"/>
      <c r="I10" s="81">
        <f>IFERROR(H10/E10,"")</f>
        <v/>
      </c>
      <c r="J10" s="80" t="n"/>
    </row>
    <row r="11" ht="15" customHeight="1" s="54">
      <c r="A11" s="80" t="n"/>
      <c r="B11" s="80" t="n"/>
      <c r="C11" s="80" t="n"/>
      <c r="D11" s="80" t="n"/>
      <c r="E11" s="80" t="n"/>
      <c r="F11" s="81">
        <f>IFERROR(E11/D11,"")</f>
        <v/>
      </c>
      <c r="G11" s="80" t="n"/>
      <c r="H11" s="80" t="n"/>
      <c r="I11" s="81">
        <f>IFERROR(H11/E11,"")</f>
        <v/>
      </c>
      <c r="J11" s="80" t="n"/>
    </row>
    <row r="12" ht="15" customHeight="1" s="54">
      <c r="A12" s="80" t="n"/>
      <c r="B12" s="80" t="n"/>
      <c r="C12" s="80" t="n"/>
      <c r="D12" s="80" t="n"/>
      <c r="E12" s="80" t="n"/>
      <c r="F12" s="81">
        <f>IFERROR(E12/D12,"")</f>
        <v/>
      </c>
      <c r="G12" s="80" t="n"/>
      <c r="H12" s="80" t="n"/>
      <c r="I12" s="81">
        <f>IFERROR(H12/E12,"")</f>
        <v/>
      </c>
      <c r="J12" s="80" t="n"/>
    </row>
    <row r="13" ht="15" customHeight="1" s="54">
      <c r="A13" s="80" t="n"/>
      <c r="B13" s="80" t="n"/>
      <c r="C13" s="80" t="n"/>
      <c r="D13" s="80" t="n"/>
      <c r="E13" s="80" t="n"/>
      <c r="F13" s="81">
        <f>IFERROR(E13/D13,"")</f>
        <v/>
      </c>
      <c r="G13" s="80" t="n"/>
      <c r="H13" s="80" t="n"/>
      <c r="I13" s="81">
        <f>IFERROR(H13/E13,"")</f>
        <v/>
      </c>
      <c r="J13" s="80" t="n"/>
    </row>
    <row r="14" ht="15" customHeight="1" s="54">
      <c r="A14" s="80" t="n"/>
      <c r="B14" s="80" t="n"/>
      <c r="C14" s="80" t="n"/>
      <c r="D14" s="80" t="n"/>
      <c r="E14" s="80" t="n"/>
      <c r="F14" s="81">
        <f>IFERROR(E14/D14,"")</f>
        <v/>
      </c>
      <c r="G14" s="80" t="n"/>
      <c r="H14" s="80" t="n"/>
      <c r="I14" s="81">
        <f>IFERROR(H14/E14,"")</f>
        <v/>
      </c>
      <c r="J14" s="80" t="n"/>
    </row>
    <row r="15" ht="15" customHeight="1" s="54">
      <c r="A15" s="80" t="n"/>
      <c r="B15" s="80" t="n"/>
      <c r="C15" s="80" t="n"/>
      <c r="D15" s="80" t="n"/>
      <c r="E15" s="80" t="n"/>
      <c r="F15" s="81">
        <f>IFERROR(E15/D15,"")</f>
        <v/>
      </c>
      <c r="G15" s="80" t="n"/>
      <c r="H15" s="80" t="n"/>
      <c r="I15" s="81">
        <f>IFERROR(H15/E15,"")</f>
        <v/>
      </c>
      <c r="J15" s="80" t="n"/>
    </row>
    <row r="16" ht="15" customHeight="1" s="54">
      <c r="A16" s="80" t="n"/>
      <c r="B16" s="80" t="n"/>
      <c r="C16" s="80" t="n"/>
      <c r="D16" s="80" t="n"/>
      <c r="E16" s="80" t="n"/>
      <c r="F16" s="81">
        <f>IFERROR(E16/D16,"")</f>
        <v/>
      </c>
      <c r="G16" s="80" t="n"/>
      <c r="H16" s="80" t="n"/>
      <c r="I16" s="81">
        <f>IFERROR(H16/E16,"")</f>
        <v/>
      </c>
      <c r="J16" s="80" t="n"/>
    </row>
    <row r="17" ht="15" customHeight="1" s="54">
      <c r="A17" s="80" t="n"/>
      <c r="B17" s="80" t="n"/>
      <c r="C17" s="80" t="n"/>
      <c r="D17" s="80" t="n"/>
      <c r="E17" s="80" t="n"/>
      <c r="F17" s="81">
        <f>IFERROR(E17/D17,"")</f>
        <v/>
      </c>
      <c r="G17" s="80" t="n"/>
      <c r="H17" s="80" t="n"/>
      <c r="I17" s="81">
        <f>IFERROR(H17/E17,"")</f>
        <v/>
      </c>
      <c r="J17" s="80" t="n"/>
    </row>
    <row r="18" ht="15" customHeight="1" s="54">
      <c r="A18" s="80" t="n"/>
      <c r="B18" s="80" t="n"/>
      <c r="C18" s="80" t="n"/>
      <c r="D18" s="80" t="n"/>
      <c r="E18" s="80" t="n"/>
      <c r="F18" s="81">
        <f>IFERROR(E18/D18,"")</f>
        <v/>
      </c>
      <c r="G18" s="80" t="n"/>
      <c r="H18" s="80" t="n"/>
      <c r="I18" s="81">
        <f>IFERROR(H18/E18,"")</f>
        <v/>
      </c>
      <c r="J18" s="80" t="n"/>
    </row>
    <row r="19" ht="15" customHeight="1" s="54">
      <c r="A19" s="80" t="n"/>
      <c r="B19" s="80" t="n"/>
      <c r="C19" s="80" t="n"/>
      <c r="D19" s="80" t="n"/>
      <c r="E19" s="80" t="n"/>
      <c r="F19" s="81">
        <f>IFERROR(E19/D19,"")</f>
        <v/>
      </c>
      <c r="G19" s="80" t="n"/>
      <c r="H19" s="80" t="n"/>
      <c r="I19" s="81">
        <f>IFERROR(H19/E19,"")</f>
        <v/>
      </c>
      <c r="J19" s="80" t="n"/>
    </row>
    <row r="20" ht="15" customHeight="1" s="54">
      <c r="A20" s="80" t="n"/>
      <c r="B20" s="80" t="n"/>
      <c r="C20" s="80" t="n"/>
      <c r="D20" s="80" t="n"/>
      <c r="E20" s="80" t="n"/>
      <c r="F20" s="81">
        <f>IFERROR(E20/D20,"")</f>
        <v/>
      </c>
      <c r="G20" s="80" t="n"/>
      <c r="H20" s="80" t="n"/>
      <c r="I20" s="81">
        <f>IFERROR(H20/E20,"")</f>
        <v/>
      </c>
      <c r="J20" s="80" t="n"/>
    </row>
    <row r="21" ht="15" customHeight="1" s="54">
      <c r="A21" s="80" t="n"/>
      <c r="B21" s="80" t="n"/>
      <c r="C21" s="80" t="n"/>
      <c r="D21" s="80" t="n"/>
      <c r="E21" s="80" t="n"/>
      <c r="F21" s="81">
        <f>IFERROR(E21/D21,"")</f>
        <v/>
      </c>
      <c r="G21" s="80" t="n"/>
      <c r="H21" s="80" t="n"/>
      <c r="I21" s="81">
        <f>IFERROR(H21/E21,"")</f>
        <v/>
      </c>
      <c r="J21" s="80" t="n"/>
    </row>
    <row r="22" ht="15" customHeight="1" s="54">
      <c r="A22" s="80" t="n"/>
      <c r="B22" s="80" t="n"/>
      <c r="C22" s="80" t="n"/>
      <c r="D22" s="80" t="n"/>
      <c r="E22" s="80" t="n"/>
      <c r="F22" s="81">
        <f>IFERROR(E22/D22,"")</f>
        <v/>
      </c>
      <c r="G22" s="80" t="n"/>
      <c r="H22" s="80" t="n"/>
      <c r="I22" s="81">
        <f>IFERROR(H22/E22,"")</f>
        <v/>
      </c>
      <c r="J22" s="80" t="n"/>
    </row>
    <row r="23" ht="15" customHeight="1" s="54">
      <c r="A23" s="80" t="n"/>
      <c r="B23" s="80" t="n"/>
      <c r="C23" s="80" t="n"/>
      <c r="D23" s="80" t="n"/>
      <c r="E23" s="80" t="n"/>
      <c r="F23" s="81">
        <f>IFERROR(E23/D23,"")</f>
        <v/>
      </c>
      <c r="G23" s="80" t="n"/>
      <c r="H23" s="80" t="n"/>
      <c r="I23" s="81">
        <f>IFERROR(H23/E23,"")</f>
        <v/>
      </c>
      <c r="J23" s="80" t="n"/>
    </row>
    <row r="24" ht="15" customHeight="1" s="54">
      <c r="A24" s="80" t="n"/>
      <c r="B24" s="80" t="n"/>
      <c r="C24" s="80" t="n"/>
      <c r="D24" s="80" t="n"/>
      <c r="E24" s="80" t="n"/>
      <c r="F24" s="81">
        <f>IFERROR(E24/D24,"")</f>
        <v/>
      </c>
      <c r="G24" s="80" t="n"/>
      <c r="H24" s="80" t="n"/>
      <c r="I24" s="81">
        <f>IFERROR(H24/E24,"")</f>
        <v/>
      </c>
      <c r="J24" s="80" t="n"/>
    </row>
    <row r="25" ht="15" customHeight="1" s="54">
      <c r="A25" s="80" t="n"/>
      <c r="B25" s="80" t="n"/>
      <c r="C25" s="80" t="n"/>
      <c r="D25" s="80" t="n"/>
      <c r="E25" s="80" t="n"/>
      <c r="F25" s="81">
        <f>IFERROR(E25/D25,"")</f>
        <v/>
      </c>
      <c r="G25" s="80" t="n"/>
      <c r="H25" s="80" t="n"/>
      <c r="I25" s="81">
        <f>IFERROR(H25/E25,"")</f>
        <v/>
      </c>
      <c r="J25" s="80" t="n"/>
    </row>
    <row r="26" ht="15" customHeight="1" s="54">
      <c r="A26" s="80" t="n"/>
      <c r="B26" s="80" t="n"/>
      <c r="C26" s="80" t="n"/>
      <c r="D26" s="80" t="n"/>
      <c r="E26" s="80" t="n"/>
      <c r="F26" s="81">
        <f>IFERROR(E26/D26,"")</f>
        <v/>
      </c>
      <c r="G26" s="80" t="n"/>
      <c r="H26" s="80" t="n"/>
      <c r="I26" s="81">
        <f>IFERROR(H26/E26,"")</f>
        <v/>
      </c>
      <c r="J26" s="80" t="n"/>
    </row>
    <row r="27" ht="15" customHeight="1" s="54">
      <c r="A27" s="80" t="n"/>
      <c r="B27" s="80" t="n"/>
      <c r="C27" s="80" t="n"/>
      <c r="D27" s="80" t="n"/>
      <c r="E27" s="80" t="n"/>
      <c r="F27" s="81">
        <f>IFERROR(E27/D27,"")</f>
        <v/>
      </c>
      <c r="G27" s="80" t="n"/>
      <c r="H27" s="80" t="n"/>
      <c r="I27" s="81">
        <f>IFERROR(H27/E27,"")</f>
        <v/>
      </c>
      <c r="J27" s="80" t="n"/>
    </row>
    <row r="28" ht="15" customHeight="1" s="54">
      <c r="A28" s="80" t="n"/>
      <c r="B28" s="80" t="n"/>
      <c r="C28" s="80" t="n"/>
      <c r="D28" s="80" t="n"/>
      <c r="E28" s="80" t="n"/>
      <c r="F28" s="81">
        <f>IFERROR(E28/D28,"")</f>
        <v/>
      </c>
      <c r="G28" s="80" t="n"/>
      <c r="H28" s="80" t="n"/>
      <c r="I28" s="81">
        <f>IFERROR(H28/E28,"")</f>
        <v/>
      </c>
      <c r="J28" s="80" t="n"/>
    </row>
    <row r="29" ht="15" customHeight="1" s="54">
      <c r="A29" s="80" t="n"/>
      <c r="B29" s="80" t="n"/>
      <c r="C29" s="80" t="n"/>
      <c r="D29" s="80" t="n"/>
      <c r="E29" s="80" t="n"/>
      <c r="F29" s="81">
        <f>IFERROR(E29/D29,"")</f>
        <v/>
      </c>
      <c r="G29" s="80" t="n"/>
      <c r="H29" s="80" t="n"/>
      <c r="I29" s="81">
        <f>IFERROR(H29/E29,"")</f>
        <v/>
      </c>
      <c r="J29" s="80" t="n"/>
    </row>
    <row r="30" ht="15" customHeight="1" s="54">
      <c r="A30" s="80" t="n"/>
      <c r="B30" s="80" t="n"/>
      <c r="C30" s="80" t="n"/>
      <c r="D30" s="80" t="n"/>
      <c r="E30" s="80" t="n"/>
      <c r="F30" s="81">
        <f>IFERROR(E30/D30,"")</f>
        <v/>
      </c>
      <c r="G30" s="80" t="n"/>
      <c r="H30" s="80" t="n"/>
      <c r="I30" s="81">
        <f>IFERROR(H30/E30,"")</f>
        <v/>
      </c>
      <c r="J30" s="80" t="n"/>
    </row>
    <row r="31" ht="15" customHeight="1" s="54">
      <c r="A31" s="80" t="n"/>
      <c r="B31" s="80" t="n"/>
      <c r="C31" s="80" t="n"/>
      <c r="D31" s="80" t="n"/>
      <c r="E31" s="80" t="n"/>
      <c r="F31" s="81">
        <f>IFERROR(E31/D31,"")</f>
        <v/>
      </c>
      <c r="G31" s="80" t="n"/>
      <c r="H31" s="80" t="n"/>
      <c r="I31" s="81">
        <f>IFERROR(H31/E31,"")</f>
        <v/>
      </c>
      <c r="J31" s="80" t="n"/>
    </row>
    <row r="32" ht="15" customHeight="1" s="54">
      <c r="A32" s="80" t="n"/>
      <c r="B32" s="80" t="n"/>
      <c r="C32" s="80" t="n"/>
      <c r="D32" s="80" t="n"/>
      <c r="E32" s="80" t="n"/>
      <c r="F32" s="81">
        <f>IFERROR(E32/D32,"")</f>
        <v/>
      </c>
      <c r="G32" s="80" t="n"/>
      <c r="H32" s="80" t="n"/>
      <c r="I32" s="81">
        <f>IFERROR(H32/E32,"")</f>
        <v/>
      </c>
      <c r="J32" s="80" t="n"/>
    </row>
    <row r="33" ht="15" customHeight="1" s="54">
      <c r="A33" s="80" t="n"/>
      <c r="B33" s="80" t="n"/>
      <c r="C33" s="80" t="n"/>
      <c r="D33" s="80" t="n"/>
      <c r="E33" s="80" t="n"/>
      <c r="F33" s="81">
        <f>IFERROR(E33/D33,"")</f>
        <v/>
      </c>
      <c r="G33" s="80" t="n"/>
      <c r="H33" s="80" t="n"/>
      <c r="I33" s="81">
        <f>IFERROR(H33/E33,"")</f>
        <v/>
      </c>
      <c r="J33" s="80" t="n"/>
    </row>
    <row r="34" ht="15" customHeight="1" s="54">
      <c r="A34" s="80" t="n"/>
      <c r="B34" s="80" t="n"/>
      <c r="C34" s="80" t="n"/>
      <c r="D34" s="80" t="n"/>
      <c r="E34" s="80" t="n"/>
      <c r="F34" s="81">
        <f>IFERROR(E34/D34,"")</f>
        <v/>
      </c>
      <c r="G34" s="80" t="n"/>
      <c r="H34" s="80" t="n"/>
      <c r="I34" s="81">
        <f>IFERROR(H34/E34,"")</f>
        <v/>
      </c>
      <c r="J34" s="80" t="n"/>
    </row>
    <row r="35" ht="15" customHeight="1" s="54">
      <c r="A35" s="80" t="n"/>
      <c r="B35" s="80" t="n"/>
      <c r="C35" s="80" t="n"/>
      <c r="D35" s="80" t="n"/>
      <c r="E35" s="80" t="n"/>
      <c r="F35" s="81">
        <f>IFERROR(E35/D35,"")</f>
        <v/>
      </c>
      <c r="G35" s="80" t="n"/>
      <c r="H35" s="80" t="n"/>
      <c r="I35" s="81">
        <f>IFERROR(H35/E35,"")</f>
        <v/>
      </c>
      <c r="J35" s="80" t="n"/>
    </row>
    <row r="36" ht="15" customHeight="1" s="54">
      <c r="A36" s="80" t="n"/>
      <c r="B36" s="80" t="n"/>
      <c r="C36" s="80" t="n"/>
      <c r="D36" s="80" t="n"/>
      <c r="E36" s="80" t="n"/>
      <c r="F36" s="81">
        <f>IFERROR(E36/D36,"")</f>
        <v/>
      </c>
      <c r="G36" s="80" t="n"/>
      <c r="H36" s="80" t="n"/>
      <c r="I36" s="81">
        <f>IFERROR(H36/E36,"")</f>
        <v/>
      </c>
      <c r="J36" s="80" t="n"/>
    </row>
    <row r="37" ht="15" customHeight="1" s="54">
      <c r="A37" s="80" t="n"/>
      <c r="B37" s="80" t="n"/>
      <c r="C37" s="80" t="n"/>
      <c r="D37" s="80" t="n"/>
      <c r="E37" s="80" t="n"/>
      <c r="F37" s="81">
        <f>IFERROR(E37/D37,"")</f>
        <v/>
      </c>
      <c r="G37" s="80" t="n"/>
      <c r="H37" s="80" t="n"/>
      <c r="I37" s="81">
        <f>IFERROR(H37/E37,"")</f>
        <v/>
      </c>
      <c r="J37" s="80" t="n"/>
    </row>
    <row r="38" ht="15" customHeight="1" s="54">
      <c r="A38" s="80" t="n"/>
      <c r="B38" s="80" t="n"/>
      <c r="C38" s="80" t="n"/>
      <c r="D38" s="80" t="n"/>
      <c r="E38" s="80" t="n"/>
      <c r="F38" s="81">
        <f>IFERROR(E38/D38,"")</f>
        <v/>
      </c>
      <c r="G38" s="80" t="n"/>
      <c r="H38" s="80" t="n"/>
      <c r="I38" s="81">
        <f>IFERROR(H38/E38,"")</f>
        <v/>
      </c>
      <c r="J38" s="80" t="n"/>
    </row>
    <row r="39" ht="15" customHeight="1" s="54">
      <c r="A39" s="80" t="n"/>
      <c r="B39" s="80" t="n"/>
      <c r="C39" s="80" t="n"/>
      <c r="D39" s="80" t="n"/>
      <c r="E39" s="80" t="n"/>
      <c r="F39" s="81">
        <f>IFERROR(E39/D39,"")</f>
        <v/>
      </c>
      <c r="G39" s="80" t="n"/>
      <c r="H39" s="80" t="n"/>
      <c r="I39" s="81">
        <f>IFERROR(H39/E39,"")</f>
        <v/>
      </c>
      <c r="J39" s="80" t="n"/>
    </row>
    <row r="40" ht="15" customHeight="1" s="54">
      <c r="A40" s="80" t="n"/>
      <c r="B40" s="80" t="n"/>
      <c r="C40" s="80" t="n"/>
      <c r="D40" s="80" t="n"/>
      <c r="E40" s="80" t="n"/>
      <c r="F40" s="81">
        <f>IFERROR(E40/D40,"")</f>
        <v/>
      </c>
      <c r="G40" s="80" t="n"/>
      <c r="H40" s="80" t="n"/>
      <c r="I40" s="81">
        <f>IFERROR(H40/E40,"")</f>
        <v/>
      </c>
      <c r="J40" s="80" t="n"/>
    </row>
    <row r="41" ht="15" customHeight="1" s="54">
      <c r="A41" s="80" t="n"/>
      <c r="B41" s="80" t="n"/>
      <c r="C41" s="80" t="n"/>
      <c r="D41" s="80" t="n"/>
      <c r="E41" s="80" t="n"/>
      <c r="F41" s="81">
        <f>IFERROR(E41/D41,"")</f>
        <v/>
      </c>
      <c r="G41" s="80" t="n"/>
      <c r="H41" s="80" t="n"/>
      <c r="I41" s="81">
        <f>IFERROR(H41/E41,"")</f>
        <v/>
      </c>
      <c r="J41" s="80" t="n"/>
    </row>
    <row r="42" ht="15" customHeight="1" s="54">
      <c r="A42" s="80" t="n"/>
      <c r="B42" s="80" t="n"/>
      <c r="C42" s="80" t="n"/>
      <c r="D42" s="80" t="n"/>
      <c r="E42" s="80" t="n"/>
      <c r="F42" s="81">
        <f>IFERROR(E42/D42,"")</f>
        <v/>
      </c>
      <c r="G42" s="80" t="n"/>
      <c r="H42" s="80" t="n"/>
      <c r="I42" s="81">
        <f>IFERROR(H42/E42,"")</f>
        <v/>
      </c>
      <c r="J42" s="80" t="n"/>
    </row>
    <row r="43" ht="15" customHeight="1" s="54">
      <c r="A43" s="80" t="n"/>
      <c r="B43" s="80" t="n"/>
      <c r="C43" s="80" t="n"/>
      <c r="D43" s="80" t="n"/>
      <c r="E43" s="80" t="n"/>
      <c r="F43" s="81">
        <f>IFERROR(E43/D43,"")</f>
        <v/>
      </c>
      <c r="G43" s="80" t="n"/>
      <c r="H43" s="80" t="n"/>
      <c r="I43" s="81">
        <f>IFERROR(H43/E43,"")</f>
        <v/>
      </c>
      <c r="J43" s="80" t="n"/>
    </row>
    <row r="44" ht="15" customHeight="1" s="54">
      <c r="A44" s="80" t="n"/>
      <c r="B44" s="80" t="n"/>
      <c r="C44" s="80" t="n"/>
      <c r="D44" s="80" t="n"/>
      <c r="E44" s="80" t="n"/>
      <c r="F44" s="81">
        <f>IFERROR(E44/D44,"")</f>
        <v/>
      </c>
      <c r="G44" s="80" t="n"/>
      <c r="H44" s="80" t="n"/>
      <c r="I44" s="81">
        <f>IFERROR(H44/E44,"")</f>
        <v/>
      </c>
      <c r="J44" s="80" t="n"/>
    </row>
    <row r="45" ht="15" customHeight="1" s="54">
      <c r="A45" s="80" t="n"/>
      <c r="B45" s="80" t="n"/>
      <c r="C45" s="80" t="n"/>
      <c r="D45" s="80" t="n"/>
      <c r="E45" s="80" t="n"/>
      <c r="F45" s="81">
        <f>IFERROR(E45/D45,"")</f>
        <v/>
      </c>
      <c r="G45" s="80" t="n"/>
      <c r="H45" s="80" t="n"/>
      <c r="I45" s="81">
        <f>IFERROR(H45/E45,"")</f>
        <v/>
      </c>
      <c r="J45" s="80" t="n"/>
    </row>
    <row r="46" ht="15" customHeight="1" s="54">
      <c r="A46" s="80" t="n"/>
      <c r="B46" s="80" t="n"/>
      <c r="C46" s="80" t="n"/>
      <c r="D46" s="80" t="n"/>
      <c r="E46" s="80" t="n"/>
      <c r="F46" s="81">
        <f>IFERROR(E46/D46,"")</f>
        <v/>
      </c>
      <c r="G46" s="80" t="n"/>
      <c r="H46" s="80" t="n"/>
      <c r="I46" s="81">
        <f>IFERROR(H46/E46,"")</f>
        <v/>
      </c>
      <c r="J46" s="80" t="n"/>
    </row>
    <row r="47" ht="15" customHeight="1" s="54">
      <c r="A47" s="80" t="n"/>
      <c r="B47" s="80" t="n"/>
      <c r="C47" s="80" t="n"/>
      <c r="D47" s="80" t="n"/>
      <c r="E47" s="80" t="n"/>
      <c r="F47" s="81">
        <f>IFERROR(E47/D47,"")</f>
        <v/>
      </c>
      <c r="G47" s="80" t="n"/>
      <c r="H47" s="80" t="n"/>
      <c r="I47" s="81">
        <f>IFERROR(H47/E47,"")</f>
        <v/>
      </c>
      <c r="J47" s="80" t="n"/>
    </row>
    <row r="48" ht="15" customHeight="1" s="54">
      <c r="A48" s="80" t="n"/>
      <c r="B48" s="80" t="n"/>
      <c r="C48" s="80" t="n"/>
      <c r="D48" s="80" t="n"/>
      <c r="E48" s="80" t="n"/>
      <c r="F48" s="81">
        <f>IFERROR(E48/D48,"")</f>
        <v/>
      </c>
      <c r="G48" s="80" t="n"/>
      <c r="H48" s="80" t="n"/>
      <c r="I48" s="81">
        <f>IFERROR(H48/E48,"")</f>
        <v/>
      </c>
      <c r="J48" s="80" t="n"/>
    </row>
    <row r="49" ht="15" customHeight="1" s="54">
      <c r="A49" s="80" t="n"/>
      <c r="B49" s="80" t="n"/>
      <c r="C49" s="80" t="n"/>
      <c r="D49" s="80" t="n"/>
      <c r="E49" s="80" t="n"/>
      <c r="F49" s="81">
        <f>IFERROR(E49/D49,"")</f>
        <v/>
      </c>
      <c r="G49" s="80" t="n"/>
      <c r="H49" s="80" t="n"/>
      <c r="I49" s="81">
        <f>IFERROR(H49/E49,"")</f>
        <v/>
      </c>
      <c r="J49" s="80" t="n"/>
    </row>
    <row r="50" ht="15" customHeight="1" s="54">
      <c r="A50" s="80" t="n"/>
      <c r="B50" s="80" t="n"/>
      <c r="C50" s="80" t="n"/>
      <c r="D50" s="80" t="n"/>
      <c r="E50" s="80" t="n"/>
      <c r="F50" s="81">
        <f>IFERROR(E50/D50,"")</f>
        <v/>
      </c>
      <c r="G50" s="80" t="n"/>
      <c r="H50" s="80" t="n"/>
      <c r="I50" s="81">
        <f>IFERROR(H50/E50,"")</f>
        <v/>
      </c>
      <c r="J50" s="80" t="n"/>
    </row>
    <row r="51" ht="15" customHeight="1" s="54">
      <c r="A51" s="80" t="n"/>
      <c r="B51" s="80" t="n"/>
      <c r="C51" s="80" t="n"/>
      <c r="D51" s="80" t="n"/>
      <c r="E51" s="80" t="n"/>
      <c r="F51" s="81">
        <f>IFERROR(E51/D51,"")</f>
        <v/>
      </c>
      <c r="G51" s="80" t="n"/>
      <c r="H51" s="80" t="n"/>
      <c r="I51" s="81">
        <f>IFERROR(H51/E51,"")</f>
        <v/>
      </c>
      <c r="J51" s="80" t="n"/>
    </row>
    <row r="52" ht="15" customHeight="1" s="54">
      <c r="A52" s="80" t="n"/>
      <c r="B52" s="80" t="n"/>
      <c r="C52" s="80" t="n"/>
      <c r="D52" s="80" t="n"/>
      <c r="E52" s="80" t="n"/>
      <c r="F52" s="81">
        <f>IFERROR(E52/D52,"")</f>
        <v/>
      </c>
      <c r="G52" s="80" t="n"/>
      <c r="H52" s="80" t="n"/>
      <c r="I52" s="81">
        <f>IFERROR(H52/E52,"")</f>
        <v/>
      </c>
      <c r="J52" s="80" t="n"/>
    </row>
    <row r="53" ht="15" customHeight="1" s="54">
      <c r="A53" s="80" t="n"/>
      <c r="B53" s="80" t="n"/>
      <c r="C53" s="80" t="n"/>
      <c r="D53" s="80" t="n"/>
      <c r="E53" s="80" t="n"/>
      <c r="F53" s="81">
        <f>IFERROR(E53/D53,"")</f>
        <v/>
      </c>
      <c r="G53" s="80" t="n"/>
      <c r="H53" s="80" t="n"/>
      <c r="I53" s="81">
        <f>IFERROR(H53/E53,"")</f>
        <v/>
      </c>
      <c r="J53" s="80" t="n"/>
    </row>
    <row r="54" ht="15" customHeight="1" s="54">
      <c r="A54" s="80" t="n"/>
      <c r="B54" s="80" t="n"/>
      <c r="C54" s="80" t="n"/>
      <c r="D54" s="80" t="n"/>
      <c r="E54" s="80" t="n"/>
      <c r="F54" s="81">
        <f>IFERROR(E54/D54,"")</f>
        <v/>
      </c>
      <c r="G54" s="80" t="n"/>
      <c r="H54" s="80" t="n"/>
      <c r="I54" s="81">
        <f>IFERROR(H54/E54,"")</f>
        <v/>
      </c>
      <c r="J54" s="80" t="n"/>
    </row>
    <row r="55" ht="15" customHeight="1" s="54">
      <c r="A55" s="80" t="n"/>
      <c r="B55" s="80" t="n"/>
      <c r="C55" s="80" t="n"/>
      <c r="D55" s="80" t="n"/>
      <c r="E55" s="80" t="n"/>
      <c r="F55" s="81">
        <f>IFERROR(E55/D55,"")</f>
        <v/>
      </c>
      <c r="G55" s="80" t="n"/>
      <c r="H55" s="80" t="n"/>
      <c r="I55" s="81">
        <f>IFERROR(H55/E55,"")</f>
        <v/>
      </c>
      <c r="J55" s="80" t="n"/>
    </row>
    <row r="56" ht="15" customHeight="1" s="54">
      <c r="A56" s="80" t="n"/>
      <c r="B56" s="80" t="n"/>
      <c r="C56" s="80" t="n"/>
      <c r="D56" s="80" t="n"/>
      <c r="E56" s="80" t="n"/>
      <c r="F56" s="81">
        <f>IFERROR(E56/D56,"")</f>
        <v/>
      </c>
      <c r="G56" s="80" t="n"/>
      <c r="H56" s="80" t="n"/>
      <c r="I56" s="81">
        <f>IFERROR(H56/E56,"")</f>
        <v/>
      </c>
      <c r="J56" s="80" t="n"/>
    </row>
    <row r="57" ht="15" customHeight="1" s="54">
      <c r="A57" s="80" t="n"/>
      <c r="B57" s="80" t="n"/>
      <c r="C57" s="80" t="n"/>
      <c r="D57" s="80" t="n"/>
      <c r="E57" s="80" t="n"/>
      <c r="F57" s="81">
        <f>IFERROR(E57/D57,"")</f>
        <v/>
      </c>
      <c r="G57" s="80" t="n"/>
      <c r="H57" s="80" t="n"/>
      <c r="I57" s="81">
        <f>IFERROR(H57/E57,"")</f>
        <v/>
      </c>
      <c r="J57" s="80" t="n"/>
    </row>
    <row r="58" ht="15" customHeight="1" s="54">
      <c r="A58" s="80" t="n"/>
      <c r="B58" s="80" t="n"/>
      <c r="C58" s="80" t="n"/>
      <c r="D58" s="80" t="n"/>
      <c r="E58" s="80" t="n"/>
      <c r="F58" s="81">
        <f>IFERROR(E58/D58,"")</f>
        <v/>
      </c>
      <c r="G58" s="80" t="n"/>
      <c r="H58" s="80" t="n"/>
      <c r="I58" s="81">
        <f>IFERROR(H58/E58,"")</f>
        <v/>
      </c>
      <c r="J58" s="80" t="n"/>
    </row>
    <row r="59" ht="15" customHeight="1" s="54">
      <c r="A59" s="80" t="n"/>
      <c r="B59" s="80" t="n"/>
      <c r="C59" s="80" t="n"/>
      <c r="D59" s="80" t="n"/>
      <c r="E59" s="80" t="n"/>
      <c r="F59" s="81">
        <f>IFERROR(E59/D59,"")</f>
        <v/>
      </c>
      <c r="G59" s="80" t="n"/>
      <c r="H59" s="80" t="n"/>
      <c r="I59" s="81">
        <f>IFERROR(H59/E59,"")</f>
        <v/>
      </c>
      <c r="J59" s="80" t="n"/>
    </row>
    <row r="60" ht="15" customHeight="1" s="54">
      <c r="A60" s="80" t="n"/>
      <c r="B60" s="80" t="n"/>
      <c r="C60" s="80" t="n"/>
      <c r="D60" s="80" t="n"/>
      <c r="E60" s="80" t="n"/>
      <c r="F60" s="81">
        <f>IFERROR(E60/D60,"")</f>
        <v/>
      </c>
      <c r="G60" s="80" t="n"/>
      <c r="H60" s="80" t="n"/>
      <c r="I60" s="81">
        <f>IFERROR(H60/E60,"")</f>
        <v/>
      </c>
      <c r="J60" s="80" t="n"/>
    </row>
    <row r="61" ht="15" customHeight="1" s="54">
      <c r="A61" s="80" t="n"/>
      <c r="B61" s="80" t="n"/>
      <c r="C61" s="80" t="n"/>
      <c r="D61" s="80" t="n"/>
      <c r="E61" s="80" t="n"/>
      <c r="F61" s="81">
        <f>IFERROR(E61/D61,"")</f>
        <v/>
      </c>
      <c r="G61" s="80" t="n"/>
      <c r="H61" s="80" t="n"/>
      <c r="I61" s="81">
        <f>IFERROR(H61/E61,"")</f>
        <v/>
      </c>
      <c r="J61" s="80" t="n"/>
    </row>
    <row r="62" ht="15" customHeight="1" s="54">
      <c r="A62" s="80" t="n"/>
      <c r="B62" s="80" t="n"/>
      <c r="C62" s="80" t="n"/>
      <c r="D62" s="80" t="n"/>
      <c r="E62" s="80" t="n"/>
      <c r="F62" s="81">
        <f>IFERROR(E62/D62,"")</f>
        <v/>
      </c>
      <c r="G62" s="80" t="n"/>
      <c r="H62" s="80" t="n"/>
      <c r="I62" s="81">
        <f>IFERROR(H62/E62,"")</f>
        <v/>
      </c>
      <c r="J62" s="80" t="n"/>
    </row>
    <row r="63" ht="15" customHeight="1" s="54">
      <c r="A63" s="80" t="n"/>
      <c r="B63" s="80" t="n"/>
      <c r="C63" s="80" t="n"/>
      <c r="D63" s="80" t="n"/>
      <c r="E63" s="80" t="n"/>
      <c r="F63" s="81">
        <f>IFERROR(E63/D63,"")</f>
        <v/>
      </c>
      <c r="G63" s="80" t="n"/>
      <c r="H63" s="80" t="n"/>
      <c r="I63" s="81">
        <f>IFERROR(H63/E63,"")</f>
        <v/>
      </c>
      <c r="J63" s="80" t="n"/>
    </row>
    <row r="64" ht="15" customHeight="1" s="54">
      <c r="A64" s="80" t="n"/>
      <c r="B64" s="80" t="n"/>
      <c r="C64" s="80" t="n"/>
      <c r="D64" s="80" t="n"/>
      <c r="E64" s="80" t="n"/>
      <c r="F64" s="81">
        <f>IFERROR(E64/D64,"")</f>
        <v/>
      </c>
      <c r="G64" s="80" t="n"/>
      <c r="H64" s="80" t="n"/>
      <c r="I64" s="81">
        <f>IFERROR(H64/E64,"")</f>
        <v/>
      </c>
      <c r="J64" s="80" t="n"/>
    </row>
    <row r="65" ht="15" customHeight="1" s="54">
      <c r="A65" s="80" t="n"/>
      <c r="B65" s="80" t="n"/>
      <c r="C65" s="80" t="n"/>
      <c r="D65" s="80" t="n"/>
      <c r="E65" s="80" t="n"/>
      <c r="F65" s="81">
        <f>IFERROR(E65/D65,"")</f>
        <v/>
      </c>
      <c r="G65" s="80" t="n"/>
      <c r="H65" s="80" t="n"/>
      <c r="I65" s="81">
        <f>IFERROR(H65/E65,"")</f>
        <v/>
      </c>
      <c r="J65" s="80" t="n"/>
    </row>
    <row r="66" ht="15" customHeight="1" s="54">
      <c r="A66" s="80" t="n"/>
      <c r="B66" s="80" t="n"/>
      <c r="C66" s="80" t="n"/>
      <c r="D66" s="80" t="n"/>
      <c r="E66" s="80" t="n"/>
      <c r="F66" s="81">
        <f>IFERROR(E66/D66,"")</f>
        <v/>
      </c>
      <c r="G66" s="80" t="n"/>
      <c r="H66" s="80" t="n"/>
      <c r="I66" s="81">
        <f>IFERROR(H66/E66,"")</f>
        <v/>
      </c>
      <c r="J66" s="80" t="n"/>
    </row>
    <row r="67" ht="15" customHeight="1" s="54">
      <c r="A67" s="80" t="n"/>
      <c r="B67" s="80" t="n"/>
      <c r="C67" s="80" t="n"/>
      <c r="D67" s="80" t="n"/>
      <c r="E67" s="80" t="n"/>
      <c r="F67" s="81">
        <f>IFERROR(E67/D67,"")</f>
        <v/>
      </c>
      <c r="G67" s="80" t="n"/>
      <c r="H67" s="80" t="n"/>
      <c r="I67" s="81">
        <f>IFERROR(H67/E67,"")</f>
        <v/>
      </c>
      <c r="J67" s="80" t="n"/>
    </row>
    <row r="68" ht="15" customHeight="1" s="54">
      <c r="A68" s="80" t="n"/>
      <c r="B68" s="80" t="n"/>
      <c r="C68" s="80" t="n"/>
      <c r="D68" s="80" t="n"/>
      <c r="E68" s="80" t="n"/>
      <c r="F68" s="81">
        <f>IFERROR(E68/D68,"")</f>
        <v/>
      </c>
      <c r="G68" s="80" t="n"/>
      <c r="H68" s="80" t="n"/>
      <c r="I68" s="81">
        <f>IFERROR(H68/E68,"")</f>
        <v/>
      </c>
      <c r="J68" s="80" t="n"/>
    </row>
    <row r="69" ht="15" customHeight="1" s="54">
      <c r="A69" s="80" t="n"/>
      <c r="B69" s="80" t="n"/>
      <c r="C69" s="80" t="n"/>
      <c r="D69" s="80" t="n"/>
      <c r="E69" s="80" t="n"/>
      <c r="F69" s="81">
        <f>IFERROR(E69/D69,"")</f>
        <v/>
      </c>
      <c r="G69" s="80" t="n"/>
      <c r="H69" s="80" t="n"/>
      <c r="I69" s="81">
        <f>IFERROR(H69/E69,"")</f>
        <v/>
      </c>
      <c r="J69" s="80" t="n"/>
    </row>
    <row r="70" ht="15" customHeight="1" s="54">
      <c r="A70" s="80" t="n"/>
      <c r="B70" s="80" t="n"/>
      <c r="C70" s="80" t="n"/>
      <c r="D70" s="80" t="n"/>
      <c r="E70" s="80" t="n"/>
      <c r="F70" s="81">
        <f>IFERROR(E70/D70,"")</f>
        <v/>
      </c>
      <c r="G70" s="80" t="n"/>
      <c r="H70" s="80" t="n"/>
      <c r="I70" s="81">
        <f>IFERROR(H70/E70,"")</f>
        <v/>
      </c>
      <c r="J70" s="80" t="n"/>
    </row>
    <row r="71" ht="15" customHeight="1" s="54">
      <c r="A71" s="80" t="n"/>
      <c r="B71" s="80" t="n"/>
      <c r="C71" s="80" t="n"/>
      <c r="D71" s="80" t="n"/>
      <c r="E71" s="80" t="n"/>
      <c r="F71" s="81">
        <f>IFERROR(E71/D71,"")</f>
        <v/>
      </c>
      <c r="G71" s="80" t="n"/>
      <c r="H71" s="80" t="n"/>
      <c r="I71" s="81">
        <f>IFERROR(H71/E71,"")</f>
        <v/>
      </c>
      <c r="J71" s="80" t="n"/>
    </row>
    <row r="72" ht="15" customHeight="1" s="54">
      <c r="A72" s="80" t="n"/>
      <c r="B72" s="80" t="n"/>
      <c r="C72" s="80" t="n"/>
      <c r="D72" s="80" t="n"/>
      <c r="E72" s="80" t="n"/>
      <c r="F72" s="81">
        <f>IFERROR(E72/D72,"")</f>
        <v/>
      </c>
      <c r="G72" s="80" t="n"/>
      <c r="H72" s="80" t="n"/>
      <c r="I72" s="81">
        <f>IFERROR(H72/E72,"")</f>
        <v/>
      </c>
      <c r="J72" s="80" t="n"/>
    </row>
    <row r="73" ht="15" customHeight="1" s="54">
      <c r="A73" s="80" t="n"/>
      <c r="B73" s="80" t="n"/>
      <c r="C73" s="80" t="n"/>
      <c r="D73" s="80" t="n"/>
      <c r="E73" s="80" t="n"/>
      <c r="F73" s="81">
        <f>IFERROR(E73/D73,"")</f>
        <v/>
      </c>
      <c r="G73" s="80" t="n"/>
      <c r="H73" s="80" t="n"/>
      <c r="I73" s="81">
        <f>IFERROR(H73/E73,"")</f>
        <v/>
      </c>
      <c r="J73" s="80" t="n"/>
    </row>
    <row r="74" ht="15" customHeight="1" s="54">
      <c r="A74" s="80" t="n"/>
      <c r="B74" s="80" t="n"/>
      <c r="C74" s="80" t="n"/>
      <c r="D74" s="80" t="n"/>
      <c r="E74" s="80" t="n"/>
      <c r="F74" s="81">
        <f>IFERROR(E74/D74,"")</f>
        <v/>
      </c>
      <c r="G74" s="80" t="n"/>
      <c r="H74" s="80" t="n"/>
      <c r="I74" s="81">
        <f>IFERROR(H74/E74,"")</f>
        <v/>
      </c>
      <c r="J74" s="80" t="n"/>
    </row>
    <row r="75" ht="15" customHeight="1" s="54">
      <c r="A75" s="80" t="n"/>
      <c r="B75" s="80" t="n"/>
      <c r="C75" s="80" t="n"/>
      <c r="D75" s="80" t="n"/>
      <c r="E75" s="80" t="n"/>
      <c r="F75" s="81">
        <f>IFERROR(E75/D75,"")</f>
        <v/>
      </c>
      <c r="G75" s="80" t="n"/>
      <c r="H75" s="80" t="n"/>
      <c r="I75" s="81">
        <f>IFERROR(H75/E75,"")</f>
        <v/>
      </c>
      <c r="J75" s="80" t="n"/>
    </row>
    <row r="76" ht="15" customHeight="1" s="54">
      <c r="A76" s="80" t="n"/>
      <c r="B76" s="80" t="n"/>
      <c r="C76" s="80" t="n"/>
      <c r="D76" s="80" t="n"/>
      <c r="E76" s="80" t="n"/>
      <c r="F76" s="81">
        <f>IFERROR(E76/D76,"")</f>
        <v/>
      </c>
      <c r="G76" s="80" t="n"/>
      <c r="H76" s="80" t="n"/>
      <c r="I76" s="81">
        <f>IFERROR(H76/E76,"")</f>
        <v/>
      </c>
      <c r="J76" s="80" t="n"/>
    </row>
    <row r="77" ht="15" customHeight="1" s="54">
      <c r="A77" s="80" t="n"/>
      <c r="B77" s="80" t="n"/>
      <c r="C77" s="80" t="n"/>
      <c r="D77" s="80" t="n"/>
      <c r="E77" s="80" t="n"/>
      <c r="F77" s="81">
        <f>IFERROR(E77/D77,"")</f>
        <v/>
      </c>
      <c r="G77" s="80" t="n"/>
      <c r="H77" s="80" t="n"/>
      <c r="I77" s="81">
        <f>IFERROR(H77/E77,"")</f>
        <v/>
      </c>
      <c r="J77" s="80" t="n"/>
    </row>
    <row r="78" ht="15" customHeight="1" s="54">
      <c r="A78" s="80" t="n"/>
      <c r="B78" s="80" t="n"/>
      <c r="C78" s="80" t="n"/>
      <c r="D78" s="80" t="n"/>
      <c r="E78" s="80" t="n"/>
      <c r="F78" s="81">
        <f>IFERROR(E78/D78,"")</f>
        <v/>
      </c>
      <c r="G78" s="80" t="n"/>
      <c r="H78" s="80" t="n"/>
      <c r="I78" s="81">
        <f>IFERROR(H78/E78,"")</f>
        <v/>
      </c>
      <c r="J78" s="80" t="n"/>
    </row>
    <row r="79" ht="15" customHeight="1" s="54">
      <c r="A79" s="80" t="n"/>
      <c r="B79" s="80" t="n"/>
      <c r="C79" s="80" t="n"/>
      <c r="D79" s="80" t="n"/>
      <c r="E79" s="80" t="n"/>
      <c r="F79" s="81">
        <f>IFERROR(E79/D79,"")</f>
        <v/>
      </c>
      <c r="G79" s="80" t="n"/>
      <c r="H79" s="80" t="n"/>
      <c r="I79" s="81">
        <f>IFERROR(H79/E79,"")</f>
        <v/>
      </c>
      <c r="J79" s="80" t="n"/>
    </row>
    <row r="80" ht="15" customHeight="1" s="54">
      <c r="A80" s="80" t="n"/>
      <c r="B80" s="80" t="n"/>
      <c r="C80" s="80" t="n"/>
      <c r="D80" s="80" t="n"/>
      <c r="E80" s="80" t="n"/>
      <c r="F80" s="81">
        <f>IFERROR(E80/D80,"")</f>
        <v/>
      </c>
      <c r="G80" s="80" t="n"/>
      <c r="H80" s="80" t="n"/>
      <c r="I80" s="81">
        <f>IFERROR(H80/E80,"")</f>
        <v/>
      </c>
      <c r="J80" s="80" t="n"/>
    </row>
    <row r="81" ht="15" customHeight="1" s="54">
      <c r="A81" s="80" t="n"/>
      <c r="B81" s="80" t="n"/>
      <c r="C81" s="80" t="n"/>
      <c r="D81" s="80" t="n"/>
      <c r="E81" s="80" t="n"/>
      <c r="F81" s="81">
        <f>IFERROR(E81/D81,"")</f>
        <v/>
      </c>
      <c r="G81" s="80" t="n"/>
      <c r="H81" s="80" t="n"/>
      <c r="I81" s="81">
        <f>IFERROR(H81/E81,"")</f>
        <v/>
      </c>
      <c r="J81" s="80" t="n"/>
    </row>
    <row r="82" ht="15" customHeight="1" s="54">
      <c r="A82" s="80" t="n"/>
      <c r="B82" s="80" t="n"/>
      <c r="C82" s="80" t="n"/>
      <c r="D82" s="80" t="n"/>
      <c r="E82" s="80" t="n"/>
      <c r="F82" s="81">
        <f>IFERROR(E82/D82,"")</f>
        <v/>
      </c>
      <c r="G82" s="80" t="n"/>
      <c r="H82" s="80" t="n"/>
      <c r="I82" s="81">
        <f>IFERROR(H82/E82,"")</f>
        <v/>
      </c>
      <c r="J82" s="80" t="n"/>
    </row>
    <row r="83" ht="15" customHeight="1" s="54">
      <c r="A83" s="80" t="n"/>
      <c r="B83" s="80" t="n"/>
      <c r="C83" s="80" t="n"/>
      <c r="D83" s="80" t="n"/>
      <c r="E83" s="80" t="n"/>
      <c r="F83" s="81">
        <f>IFERROR(E83/D83,"")</f>
        <v/>
      </c>
      <c r="G83" s="80" t="n"/>
      <c r="H83" s="80" t="n"/>
      <c r="I83" s="81">
        <f>IFERROR(H83/E83,"")</f>
        <v/>
      </c>
      <c r="J83" s="80" t="n"/>
    </row>
    <row r="84" ht="15" customHeight="1" s="54">
      <c r="A84" s="80" t="n"/>
      <c r="B84" s="80" t="n"/>
      <c r="C84" s="80" t="n"/>
      <c r="D84" s="80" t="n"/>
      <c r="E84" s="80" t="n"/>
      <c r="F84" s="81">
        <f>IFERROR(E84/D84,"")</f>
        <v/>
      </c>
      <c r="G84" s="80" t="n"/>
      <c r="H84" s="80" t="n"/>
      <c r="I84" s="81">
        <f>IFERROR(H84/E84,"")</f>
        <v/>
      </c>
      <c r="J84" s="80" t="n"/>
    </row>
    <row r="85" ht="15" customHeight="1" s="54">
      <c r="A85" s="80" t="n"/>
      <c r="B85" s="80" t="n"/>
      <c r="C85" s="80" t="n"/>
      <c r="D85" s="80" t="n"/>
      <c r="E85" s="80" t="n"/>
      <c r="F85" s="81">
        <f>IFERROR(E85/D85,"")</f>
        <v/>
      </c>
      <c r="G85" s="80" t="n"/>
      <c r="H85" s="80" t="n"/>
      <c r="I85" s="81">
        <f>IFERROR(H85/E85,"")</f>
        <v/>
      </c>
      <c r="J85" s="80" t="n"/>
    </row>
    <row r="86" ht="15" customHeight="1" s="54">
      <c r="A86" s="80" t="n"/>
      <c r="B86" s="80" t="n"/>
      <c r="C86" s="80" t="n"/>
      <c r="D86" s="80" t="n"/>
      <c r="E86" s="80" t="n"/>
      <c r="F86" s="81">
        <f>IFERROR(E86/D86,"")</f>
        <v/>
      </c>
      <c r="G86" s="80" t="n"/>
      <c r="H86" s="80" t="n"/>
      <c r="I86" s="81">
        <f>IFERROR(H86/E86,"")</f>
        <v/>
      </c>
      <c r="J86" s="80" t="n"/>
    </row>
    <row r="87" ht="15" customHeight="1" s="54">
      <c r="A87" s="80" t="n"/>
      <c r="B87" s="80" t="n"/>
      <c r="C87" s="80" t="n"/>
      <c r="D87" s="80" t="n"/>
      <c r="E87" s="80" t="n"/>
      <c r="F87" s="81">
        <f>IFERROR(E87/D87,"")</f>
        <v/>
      </c>
      <c r="G87" s="80" t="n"/>
      <c r="H87" s="80" t="n"/>
      <c r="I87" s="81">
        <f>IFERROR(H87/E87,"")</f>
        <v/>
      </c>
      <c r="J87" s="80" t="n"/>
    </row>
    <row r="88" ht="15" customHeight="1" s="54">
      <c r="A88" s="80" t="n"/>
      <c r="B88" s="80" t="n"/>
      <c r="C88" s="80" t="n"/>
      <c r="D88" s="80" t="n"/>
      <c r="E88" s="80" t="n"/>
      <c r="F88" s="81">
        <f>IFERROR(E88/D88,"")</f>
        <v/>
      </c>
      <c r="G88" s="80" t="n"/>
      <c r="H88" s="80" t="n"/>
      <c r="I88" s="81">
        <f>IFERROR(H88/E88,"")</f>
        <v/>
      </c>
      <c r="J88" s="80" t="n"/>
    </row>
    <row r="89" ht="15" customHeight="1" s="54">
      <c r="A89" s="80" t="n"/>
      <c r="B89" s="80" t="n"/>
      <c r="C89" s="80" t="n"/>
      <c r="D89" s="80" t="n"/>
      <c r="E89" s="80" t="n"/>
      <c r="F89" s="81">
        <f>IFERROR(E89/D89,"")</f>
        <v/>
      </c>
      <c r="G89" s="80" t="n"/>
      <c r="H89" s="80" t="n"/>
      <c r="I89" s="81">
        <f>IFERROR(H89/E89,"")</f>
        <v/>
      </c>
      <c r="J89" s="80" t="n"/>
    </row>
    <row r="90" ht="15" customHeight="1" s="54">
      <c r="A90" s="80" t="n"/>
      <c r="B90" s="80" t="n"/>
      <c r="C90" s="80" t="n"/>
      <c r="D90" s="80" t="n"/>
      <c r="E90" s="80" t="n"/>
      <c r="F90" s="81">
        <f>IFERROR(E90/D90,"")</f>
        <v/>
      </c>
      <c r="G90" s="80" t="n"/>
      <c r="H90" s="80" t="n"/>
      <c r="I90" s="81">
        <f>IFERROR(H90/E90,"")</f>
        <v/>
      </c>
      <c r="J90" s="80" t="n"/>
    </row>
    <row r="91" ht="15" customHeight="1" s="54">
      <c r="A91" s="80" t="n"/>
      <c r="B91" s="80" t="n"/>
      <c r="C91" s="80" t="n"/>
      <c r="D91" s="80" t="n"/>
      <c r="E91" s="80" t="n"/>
      <c r="F91" s="81">
        <f>IFERROR(E91/D91,"")</f>
        <v/>
      </c>
      <c r="G91" s="80" t="n"/>
      <c r="H91" s="80" t="n"/>
      <c r="I91" s="81">
        <f>IFERROR(H91/E91,"")</f>
        <v/>
      </c>
      <c r="J91" s="80" t="n"/>
    </row>
    <row r="92" ht="15" customHeight="1" s="54">
      <c r="A92" s="80" t="n"/>
      <c r="B92" s="80" t="n"/>
      <c r="C92" s="80" t="n"/>
      <c r="D92" s="80" t="n"/>
      <c r="E92" s="80" t="n"/>
      <c r="F92" s="81">
        <f>IFERROR(E92/D92,"")</f>
        <v/>
      </c>
      <c r="G92" s="80" t="n"/>
      <c r="H92" s="80" t="n"/>
      <c r="I92" s="81">
        <f>IFERROR(H92/E92,"")</f>
        <v/>
      </c>
      <c r="J92" s="80" t="n"/>
    </row>
    <row r="93" ht="15" customHeight="1" s="54">
      <c r="A93" s="80" t="n"/>
      <c r="B93" s="80" t="n"/>
      <c r="C93" s="80" t="n"/>
      <c r="D93" s="80" t="n"/>
      <c r="E93" s="80" t="n"/>
      <c r="F93" s="81">
        <f>IFERROR(E93/D93,"")</f>
        <v/>
      </c>
      <c r="G93" s="80" t="n"/>
      <c r="H93" s="80" t="n"/>
      <c r="I93" s="81">
        <f>IFERROR(H93/E93,"")</f>
        <v/>
      </c>
      <c r="J93" s="80" t="n"/>
    </row>
    <row r="94" ht="15" customHeight="1" s="54">
      <c r="A94" s="80" t="n"/>
      <c r="B94" s="80" t="n"/>
      <c r="C94" s="80" t="n"/>
      <c r="D94" s="80" t="n"/>
      <c r="E94" s="80" t="n"/>
      <c r="F94" s="81">
        <f>IFERROR(E94/D94,"")</f>
        <v/>
      </c>
      <c r="G94" s="80" t="n"/>
      <c r="H94" s="80" t="n"/>
      <c r="I94" s="81">
        <f>IFERROR(H94/E94,"")</f>
        <v/>
      </c>
      <c r="J94" s="80" t="n"/>
    </row>
    <row r="95" ht="15" customHeight="1" s="54">
      <c r="A95" s="80" t="n"/>
      <c r="B95" s="80" t="n"/>
      <c r="C95" s="80" t="n"/>
      <c r="D95" s="80" t="n"/>
      <c r="E95" s="80" t="n"/>
      <c r="F95" s="81">
        <f>IFERROR(E95/D95,"")</f>
        <v/>
      </c>
      <c r="G95" s="80" t="n"/>
      <c r="H95" s="80" t="n"/>
      <c r="I95" s="81">
        <f>IFERROR(H95/E95,"")</f>
        <v/>
      </c>
      <c r="J95" s="80" t="n"/>
    </row>
    <row r="96" ht="15" customHeight="1" s="54">
      <c r="A96" s="80" t="n"/>
      <c r="B96" s="80" t="n"/>
      <c r="C96" s="80" t="n"/>
      <c r="D96" s="80" t="n"/>
      <c r="E96" s="80" t="n"/>
      <c r="F96" s="81">
        <f>IFERROR(E96/D96,"")</f>
        <v/>
      </c>
      <c r="G96" s="80" t="n"/>
      <c r="H96" s="80" t="n"/>
      <c r="I96" s="81">
        <f>IFERROR(H96/E96,"")</f>
        <v/>
      </c>
      <c r="J96" s="80" t="n"/>
    </row>
    <row r="97" ht="15" customHeight="1" s="54">
      <c r="A97" s="80" t="n"/>
      <c r="B97" s="80" t="n"/>
      <c r="C97" s="80" t="n"/>
      <c r="D97" s="80" t="n"/>
      <c r="E97" s="80" t="n"/>
      <c r="F97" s="81">
        <f>IFERROR(E97/D97,"")</f>
        <v/>
      </c>
      <c r="G97" s="80" t="n"/>
      <c r="H97" s="80" t="n"/>
      <c r="I97" s="81">
        <f>IFERROR(H97/E97,"")</f>
        <v/>
      </c>
      <c r="J97" s="80" t="n"/>
    </row>
    <row r="98" ht="15" customHeight="1" s="54">
      <c r="A98" s="80" t="n"/>
      <c r="B98" s="80" t="n"/>
      <c r="C98" s="80" t="n"/>
      <c r="D98" s="80" t="n"/>
      <c r="E98" s="80" t="n"/>
      <c r="F98" s="81">
        <f>IFERROR(E98/D98,"")</f>
        <v/>
      </c>
      <c r="G98" s="80" t="n"/>
      <c r="H98" s="80" t="n"/>
      <c r="I98" s="81">
        <f>IFERROR(H98/E98,"")</f>
        <v/>
      </c>
      <c r="J98" s="80" t="n"/>
    </row>
    <row r="99" ht="15" customHeight="1" s="54">
      <c r="A99" s="80" t="n"/>
      <c r="B99" s="80" t="n"/>
      <c r="C99" s="80" t="n"/>
      <c r="D99" s="80" t="n"/>
      <c r="E99" s="80" t="n"/>
      <c r="F99" s="81">
        <f>IFERROR(E99/D99,"")</f>
        <v/>
      </c>
      <c r="G99" s="80" t="n"/>
      <c r="H99" s="80" t="n"/>
      <c r="I99" s="81">
        <f>IFERROR(H99/E99,"")</f>
        <v/>
      </c>
      <c r="J99" s="80" t="n"/>
    </row>
    <row r="100" ht="15" customHeight="1" s="54">
      <c r="A100" s="80" t="n"/>
      <c r="B100" s="80" t="n"/>
      <c r="C100" s="80" t="n"/>
      <c r="D100" s="80" t="n"/>
      <c r="E100" s="80" t="n"/>
      <c r="F100" s="81">
        <f>IFERROR(E100/D100,"")</f>
        <v/>
      </c>
      <c r="G100" s="80" t="n"/>
      <c r="H100" s="80" t="n"/>
      <c r="I100" s="81">
        <f>IFERROR(H100/E100,"")</f>
        <v/>
      </c>
      <c r="J100" s="80" t="n"/>
    </row>
    <row r="101" ht="15" customHeight="1" s="54">
      <c r="A101" s="80" t="n"/>
      <c r="B101" s="80" t="n"/>
      <c r="C101" s="80" t="n"/>
      <c r="D101" s="80" t="n"/>
      <c r="E101" s="80" t="n"/>
      <c r="F101" s="81">
        <f>IFERROR(E101/D101,"")</f>
        <v/>
      </c>
      <c r="G101" s="80" t="n"/>
      <c r="H101" s="80" t="n"/>
      <c r="I101" s="81">
        <f>IFERROR(H101/E101,"")</f>
        <v/>
      </c>
      <c r="J101" s="80" t="n"/>
    </row>
    <row r="102" ht="15" customHeight="1" s="54">
      <c r="A102" s="80" t="n"/>
      <c r="B102" s="80" t="n"/>
      <c r="C102" s="80" t="n"/>
      <c r="D102" s="80" t="n"/>
      <c r="E102" s="80" t="n"/>
      <c r="F102" s="81">
        <f>IFERROR(E102/D102,"")</f>
        <v/>
      </c>
      <c r="G102" s="80" t="n"/>
      <c r="H102" s="80" t="n"/>
      <c r="I102" s="81">
        <f>IFERROR(H102/E102,"")</f>
        <v/>
      </c>
      <c r="J102" s="80" t="n"/>
    </row>
    <row r="103" ht="15" customHeight="1" s="54">
      <c r="A103" s="80" t="n"/>
      <c r="B103" s="80" t="n"/>
      <c r="C103" s="80" t="n"/>
      <c r="D103" s="80" t="n"/>
      <c r="E103" s="80" t="n"/>
      <c r="F103" s="81">
        <f>IFERROR(E103/D103,"")</f>
        <v/>
      </c>
      <c r="G103" s="80" t="n"/>
      <c r="H103" s="80" t="n"/>
      <c r="I103" s="81">
        <f>IFERROR(H103/E103,"")</f>
        <v/>
      </c>
      <c r="J103" s="80" t="n"/>
    </row>
    <row r="104" ht="15" customHeight="1" s="54">
      <c r="A104" s="80" t="n"/>
      <c r="B104" s="80" t="n"/>
      <c r="C104" s="80" t="n"/>
      <c r="D104" s="80" t="n"/>
      <c r="E104" s="80" t="n"/>
      <c r="F104" s="81">
        <f>IFERROR(E104/D104,"")</f>
        <v/>
      </c>
      <c r="G104" s="80" t="n"/>
      <c r="H104" s="80" t="n"/>
      <c r="I104" s="81">
        <f>IFERROR(H104/E104,"")</f>
        <v/>
      </c>
      <c r="J104" s="80" t="n"/>
    </row>
    <row r="105" ht="15" customHeight="1" s="54">
      <c r="A105" s="80" t="n"/>
      <c r="B105" s="80" t="n"/>
      <c r="C105" s="80" t="n"/>
      <c r="D105" s="80" t="n"/>
      <c r="E105" s="80" t="n"/>
      <c r="F105" s="81">
        <f>IFERROR(E105/D105,"")</f>
        <v/>
      </c>
      <c r="G105" s="80" t="n"/>
      <c r="H105" s="80" t="n"/>
      <c r="I105" s="81">
        <f>IFERROR(H105/E105,"")</f>
        <v/>
      </c>
      <c r="J105" s="80" t="n"/>
    </row>
    <row r="106" ht="15" customHeight="1" s="54">
      <c r="A106" s="80" t="n"/>
      <c r="B106" s="80" t="n"/>
      <c r="C106" s="80" t="n"/>
      <c r="D106" s="80" t="n"/>
      <c r="E106" s="80" t="n"/>
      <c r="F106" s="81">
        <f>IFERROR(E106/D106,"")</f>
        <v/>
      </c>
      <c r="G106" s="80" t="n"/>
      <c r="H106" s="80" t="n"/>
      <c r="I106" s="81">
        <f>IFERROR(H106/E106,"")</f>
        <v/>
      </c>
      <c r="J106" s="80" t="n"/>
    </row>
    <row r="107" ht="15" customHeight="1" s="54">
      <c r="A107" s="80" t="n"/>
      <c r="B107" s="80" t="n"/>
      <c r="C107" s="80" t="n"/>
      <c r="D107" s="80" t="n"/>
      <c r="E107" s="80" t="n"/>
      <c r="F107" s="81">
        <f>IFERROR(E107/D107,"")</f>
        <v/>
      </c>
      <c r="G107" s="80" t="n"/>
      <c r="H107" s="80" t="n"/>
      <c r="I107" s="81">
        <f>IFERROR(H107/E107,"")</f>
        <v/>
      </c>
      <c r="J107" s="80" t="n"/>
    </row>
    <row r="108" ht="15" customHeight="1" s="54">
      <c r="A108" s="80" t="n"/>
      <c r="B108" s="80" t="n"/>
      <c r="C108" s="80" t="n"/>
      <c r="D108" s="80" t="n"/>
      <c r="E108" s="80" t="n"/>
      <c r="F108" s="81">
        <f>IFERROR(E108/D108,"")</f>
        <v/>
      </c>
      <c r="G108" s="80" t="n"/>
      <c r="H108" s="80" t="n"/>
      <c r="I108" s="81">
        <f>IFERROR(H108/E108,"")</f>
        <v/>
      </c>
      <c r="J108" s="80" t="n"/>
    </row>
    <row r="109" ht="15" customHeight="1" s="54">
      <c r="A109" s="80" t="n"/>
      <c r="B109" s="80" t="n"/>
      <c r="C109" s="80" t="n"/>
      <c r="D109" s="80" t="n"/>
      <c r="E109" s="80" t="n"/>
      <c r="F109" s="81">
        <f>IFERROR(E109/D109,"")</f>
        <v/>
      </c>
      <c r="G109" s="80" t="n"/>
      <c r="H109" s="80" t="n"/>
      <c r="I109" s="81">
        <f>IFERROR(H109/E109,"")</f>
        <v/>
      </c>
      <c r="J109" s="80" t="n"/>
    </row>
    <row r="110" ht="15" customHeight="1" s="54">
      <c r="A110" s="80" t="n"/>
      <c r="B110" s="80" t="n"/>
      <c r="C110" s="80" t="n"/>
      <c r="D110" s="80" t="n"/>
      <c r="E110" s="80" t="n"/>
      <c r="F110" s="81">
        <f>IFERROR(E110/D110,"")</f>
        <v/>
      </c>
      <c r="G110" s="80" t="n"/>
      <c r="H110" s="80" t="n"/>
      <c r="I110" s="81">
        <f>IFERROR(H110/E110,"")</f>
        <v/>
      </c>
      <c r="J110" s="80" t="n"/>
    </row>
    <row r="111" ht="15" customHeight="1" s="54">
      <c r="A111" s="80" t="n"/>
      <c r="B111" s="80" t="n"/>
      <c r="C111" s="80" t="n"/>
      <c r="D111" s="80" t="n"/>
      <c r="E111" s="80" t="n"/>
      <c r="F111" s="81">
        <f>IFERROR(E111/D111,"")</f>
        <v/>
      </c>
      <c r="G111" s="80" t="n"/>
      <c r="H111" s="80" t="n"/>
      <c r="I111" s="81">
        <f>IFERROR(H111/E111,"")</f>
        <v/>
      </c>
      <c r="J111" s="80" t="n"/>
    </row>
    <row r="112" ht="15" customHeight="1" s="54">
      <c r="A112" s="80" t="n"/>
      <c r="B112" s="80" t="n"/>
      <c r="C112" s="80" t="n"/>
      <c r="D112" s="80" t="n"/>
      <c r="E112" s="80" t="n"/>
      <c r="F112" s="81">
        <f>IFERROR(E112/D112,"")</f>
        <v/>
      </c>
      <c r="G112" s="80" t="n"/>
      <c r="H112" s="80" t="n"/>
      <c r="I112" s="81">
        <f>IFERROR(H112/E112,"")</f>
        <v/>
      </c>
      <c r="J112" s="80" t="n"/>
    </row>
    <row r="113" ht="15" customHeight="1" s="54">
      <c r="A113" s="80" t="n"/>
      <c r="B113" s="80" t="n"/>
      <c r="C113" s="80" t="n"/>
      <c r="D113" s="80" t="n"/>
      <c r="E113" s="80" t="n"/>
      <c r="F113" s="81">
        <f>IFERROR(E113/D113,"")</f>
        <v/>
      </c>
      <c r="G113" s="80" t="n"/>
      <c r="H113" s="80" t="n"/>
      <c r="I113" s="81">
        <f>IFERROR(H113/E113,"")</f>
        <v/>
      </c>
      <c r="J113" s="80" t="n"/>
    </row>
    <row r="114" ht="15" customHeight="1" s="54">
      <c r="A114" s="80" t="n"/>
      <c r="B114" s="80" t="n"/>
      <c r="C114" s="80" t="n"/>
      <c r="D114" s="80" t="n"/>
      <c r="E114" s="80" t="n"/>
      <c r="F114" s="81">
        <f>IFERROR(E114/D114,"")</f>
        <v/>
      </c>
      <c r="G114" s="80" t="n"/>
      <c r="H114" s="80" t="n"/>
      <c r="I114" s="81">
        <f>IFERROR(H114/E114,"")</f>
        <v/>
      </c>
      <c r="J114" s="80" t="n"/>
    </row>
    <row r="115" ht="15" customHeight="1" s="54">
      <c r="A115" s="80" t="n"/>
      <c r="B115" s="80" t="n"/>
      <c r="C115" s="80" t="n"/>
      <c r="D115" s="80" t="n"/>
      <c r="E115" s="80" t="n"/>
      <c r="F115" s="81">
        <f>IFERROR(E115/D115,"")</f>
        <v/>
      </c>
      <c r="G115" s="80" t="n"/>
      <c r="H115" s="80" t="n"/>
      <c r="I115" s="81">
        <f>IFERROR(H115/E115,"")</f>
        <v/>
      </c>
      <c r="J115" s="80" t="n"/>
    </row>
    <row r="116" ht="15" customHeight="1" s="54">
      <c r="A116" s="80" t="n"/>
      <c r="B116" s="80" t="n"/>
      <c r="C116" s="80" t="n"/>
      <c r="D116" s="80" t="n"/>
      <c r="E116" s="80" t="n"/>
      <c r="F116" s="81">
        <f>IFERROR(E116/D116,"")</f>
        <v/>
      </c>
      <c r="G116" s="80" t="n"/>
      <c r="H116" s="80" t="n"/>
      <c r="I116" s="81">
        <f>IFERROR(H116/E116,"")</f>
        <v/>
      </c>
      <c r="J116" s="80" t="n"/>
    </row>
    <row r="117" ht="15" customHeight="1" s="54">
      <c r="A117" s="80" t="n"/>
      <c r="B117" s="80" t="n"/>
      <c r="C117" s="80" t="n"/>
      <c r="D117" s="80" t="n"/>
      <c r="E117" s="80" t="n"/>
      <c r="F117" s="81">
        <f>IFERROR(E117/D117,"")</f>
        <v/>
      </c>
      <c r="G117" s="80" t="n"/>
      <c r="H117" s="80" t="n"/>
      <c r="I117" s="81">
        <f>IFERROR(H117/E117,"")</f>
        <v/>
      </c>
      <c r="J117" s="80" t="n"/>
    </row>
    <row r="118" ht="15" customHeight="1" s="54">
      <c r="A118" s="80" t="n"/>
      <c r="B118" s="80" t="n"/>
      <c r="C118" s="80" t="n"/>
      <c r="D118" s="80" t="n"/>
      <c r="E118" s="80" t="n"/>
      <c r="F118" s="81">
        <f>IFERROR(E118/D118,"")</f>
        <v/>
      </c>
      <c r="G118" s="80" t="n"/>
      <c r="H118" s="80" t="n"/>
      <c r="I118" s="81">
        <f>IFERROR(H118/E118,"")</f>
        <v/>
      </c>
      <c r="J118" s="80" t="n"/>
    </row>
    <row r="119" ht="15" customHeight="1" s="54">
      <c r="A119" s="80" t="n"/>
      <c r="B119" s="80" t="n"/>
      <c r="C119" s="80" t="n"/>
      <c r="D119" s="80" t="n"/>
      <c r="E119" s="80" t="n"/>
      <c r="F119" s="81">
        <f>IFERROR(E119/D119,"")</f>
        <v/>
      </c>
      <c r="G119" s="80" t="n"/>
      <c r="H119" s="80" t="n"/>
      <c r="I119" s="81">
        <f>IFERROR(H119/E119,"")</f>
        <v/>
      </c>
      <c r="J119" s="80" t="n"/>
    </row>
    <row r="120" ht="15" customHeight="1" s="54">
      <c r="A120" s="80" t="n"/>
      <c r="B120" s="80" t="n"/>
      <c r="C120" s="80" t="n"/>
      <c r="D120" s="80" t="n"/>
      <c r="E120" s="80" t="n"/>
      <c r="F120" s="81">
        <f>IFERROR(E120/D120,"")</f>
        <v/>
      </c>
      <c r="G120" s="80" t="n"/>
      <c r="H120" s="80" t="n"/>
      <c r="I120" s="81">
        <f>IFERROR(H120/E120,"")</f>
        <v/>
      </c>
      <c r="J120" s="80" t="n"/>
    </row>
    <row r="121" ht="15" customHeight="1" s="54">
      <c r="A121" s="80" t="n"/>
      <c r="B121" s="80" t="n"/>
      <c r="C121" s="80" t="n"/>
      <c r="D121" s="80" t="n"/>
      <c r="E121" s="80" t="n"/>
      <c r="F121" s="81">
        <f>IFERROR(E121/D121,"")</f>
        <v/>
      </c>
      <c r="G121" s="80" t="n"/>
      <c r="H121" s="80" t="n"/>
      <c r="I121" s="81">
        <f>IFERROR(H121/E121,"")</f>
        <v/>
      </c>
      <c r="J121" s="80" t="n"/>
    </row>
    <row r="122" ht="15" customHeight="1" s="54">
      <c r="A122" s="80" t="n"/>
      <c r="B122" s="80" t="n"/>
      <c r="C122" s="80" t="n"/>
      <c r="D122" s="80" t="n"/>
      <c r="E122" s="80" t="n"/>
      <c r="F122" s="81">
        <f>IFERROR(E122/D122,"")</f>
        <v/>
      </c>
      <c r="G122" s="80" t="n"/>
      <c r="H122" s="80" t="n"/>
      <c r="I122" s="81">
        <f>IFERROR(H122/E122,"")</f>
        <v/>
      </c>
      <c r="J122" s="80" t="n"/>
    </row>
    <row r="123" ht="15" customHeight="1" s="54">
      <c r="A123" s="80" t="n"/>
      <c r="B123" s="80" t="n"/>
      <c r="C123" s="80" t="n"/>
      <c r="D123" s="80" t="n"/>
      <c r="E123" s="80" t="n"/>
      <c r="F123" s="81">
        <f>IFERROR(E123/D123,"")</f>
        <v/>
      </c>
      <c r="G123" s="80" t="n"/>
      <c r="H123" s="80" t="n"/>
      <c r="I123" s="81">
        <f>IFERROR(H123/E123,"")</f>
        <v/>
      </c>
      <c r="J123" s="80" t="n"/>
    </row>
    <row r="124" ht="15" customHeight="1" s="54">
      <c r="A124" s="80" t="n"/>
      <c r="B124" s="80" t="n"/>
      <c r="C124" s="80" t="n"/>
      <c r="D124" s="80" t="n"/>
      <c r="E124" s="80" t="n"/>
      <c r="F124" s="81">
        <f>IFERROR(E124/D124,"")</f>
        <v/>
      </c>
      <c r="G124" s="80" t="n"/>
      <c r="H124" s="80" t="n"/>
      <c r="I124" s="81">
        <f>IFERROR(H124/E124,"")</f>
        <v/>
      </c>
      <c r="J124" s="80" t="n"/>
    </row>
    <row r="125" ht="15" customHeight="1" s="54">
      <c r="A125" s="80" t="n"/>
      <c r="B125" s="80" t="n"/>
      <c r="C125" s="80" t="n"/>
      <c r="D125" s="80" t="n"/>
      <c r="E125" s="80" t="n"/>
      <c r="F125" s="81">
        <f>IFERROR(E125/D125,"")</f>
        <v/>
      </c>
      <c r="G125" s="80" t="n"/>
      <c r="H125" s="80" t="n"/>
      <c r="I125" s="81">
        <f>IFERROR(H125/E125,"")</f>
        <v/>
      </c>
      <c r="J125" s="80" t="n"/>
    </row>
    <row r="126" ht="15" customHeight="1" s="54">
      <c r="A126" s="80" t="n"/>
      <c r="B126" s="80" t="n"/>
      <c r="C126" s="80" t="n"/>
      <c r="D126" s="80" t="n"/>
      <c r="E126" s="80" t="n"/>
      <c r="F126" s="81">
        <f>IFERROR(E126/D126,"")</f>
        <v/>
      </c>
      <c r="G126" s="80" t="n"/>
      <c r="H126" s="80" t="n"/>
      <c r="I126" s="81">
        <f>IFERROR(H126/E126,"")</f>
        <v/>
      </c>
      <c r="J126" s="80" t="n"/>
    </row>
    <row r="127" ht="15" customHeight="1" s="54">
      <c r="A127" s="80" t="n"/>
      <c r="B127" s="80" t="n"/>
      <c r="C127" s="80" t="n"/>
      <c r="D127" s="80" t="n"/>
      <c r="E127" s="80" t="n"/>
      <c r="F127" s="81">
        <f>IFERROR(E127/D127,"")</f>
        <v/>
      </c>
      <c r="G127" s="80" t="n"/>
      <c r="H127" s="80" t="n"/>
      <c r="I127" s="81">
        <f>IFERROR(H127/E127,"")</f>
        <v/>
      </c>
      <c r="J127" s="80" t="n"/>
    </row>
    <row r="128" ht="15" customHeight="1" s="54">
      <c r="A128" s="80" t="n"/>
      <c r="B128" s="80" t="n"/>
      <c r="C128" s="80" t="n"/>
      <c r="D128" s="80" t="n"/>
      <c r="E128" s="80" t="n"/>
      <c r="F128" s="81">
        <f>IFERROR(E128/D128,"")</f>
        <v/>
      </c>
      <c r="G128" s="80" t="n"/>
      <c r="H128" s="80" t="n"/>
      <c r="I128" s="81">
        <f>IFERROR(H128/E128,"")</f>
        <v/>
      </c>
      <c r="J128" s="80" t="n"/>
    </row>
    <row r="129" ht="15" customHeight="1" s="54">
      <c r="A129" s="80" t="n"/>
      <c r="B129" s="80" t="n"/>
      <c r="C129" s="80" t="n"/>
      <c r="D129" s="80" t="n"/>
      <c r="E129" s="80" t="n"/>
      <c r="F129" s="81">
        <f>IFERROR(E129/D129,"")</f>
        <v/>
      </c>
      <c r="G129" s="80" t="n"/>
      <c r="H129" s="80" t="n"/>
      <c r="I129" s="81">
        <f>IFERROR(H129/E129,"")</f>
        <v/>
      </c>
      <c r="J129" s="80" t="n"/>
    </row>
    <row r="130" ht="15" customHeight="1" s="54">
      <c r="A130" s="80" t="n"/>
      <c r="B130" s="80" t="n"/>
      <c r="C130" s="80" t="n"/>
      <c r="D130" s="80" t="n"/>
      <c r="E130" s="80" t="n"/>
      <c r="F130" s="81">
        <f>IFERROR(E130/D130,"")</f>
        <v/>
      </c>
      <c r="G130" s="80" t="n"/>
      <c r="H130" s="80" t="n"/>
      <c r="I130" s="81">
        <f>IFERROR(H130/E130,"")</f>
        <v/>
      </c>
      <c r="J130" s="80" t="n"/>
    </row>
    <row r="131" ht="15" customHeight="1" s="54">
      <c r="A131" s="80" t="n"/>
      <c r="B131" s="80" t="n"/>
      <c r="C131" s="80" t="n"/>
      <c r="D131" s="80" t="n"/>
      <c r="E131" s="80" t="n"/>
      <c r="F131" s="81">
        <f>IFERROR(E131/D131,"")</f>
        <v/>
      </c>
      <c r="G131" s="80" t="n"/>
      <c r="H131" s="80" t="n"/>
      <c r="I131" s="81">
        <f>IFERROR(H131/E131,"")</f>
        <v/>
      </c>
      <c r="J131" s="80" t="n"/>
    </row>
    <row r="132" ht="15" customHeight="1" s="54">
      <c r="A132" s="80" t="n"/>
      <c r="B132" s="80" t="n"/>
      <c r="C132" s="80" t="n"/>
      <c r="D132" s="80" t="n"/>
      <c r="E132" s="80" t="n"/>
      <c r="F132" s="81">
        <f>IFERROR(E132/D132,"")</f>
        <v/>
      </c>
      <c r="G132" s="80" t="n"/>
      <c r="H132" s="80" t="n"/>
      <c r="I132" s="81">
        <f>IFERROR(H132/E132,"")</f>
        <v/>
      </c>
      <c r="J132" s="80" t="n"/>
    </row>
    <row r="133" ht="15" customHeight="1" s="54">
      <c r="A133" s="80" t="n"/>
      <c r="B133" s="80" t="n"/>
      <c r="C133" s="80" t="n"/>
      <c r="D133" s="80" t="n"/>
      <c r="E133" s="80" t="n"/>
      <c r="F133" s="81">
        <f>IFERROR(E133/D133,"")</f>
        <v/>
      </c>
      <c r="G133" s="80" t="n"/>
      <c r="H133" s="80" t="n"/>
      <c r="I133" s="81">
        <f>IFERROR(H133/E133,"")</f>
        <v/>
      </c>
      <c r="J133" s="80" t="n"/>
    </row>
    <row r="134" ht="15" customHeight="1" s="54">
      <c r="A134" s="80" t="n"/>
      <c r="B134" s="80" t="n"/>
      <c r="C134" s="80" t="n"/>
      <c r="D134" s="80" t="n"/>
      <c r="E134" s="80" t="n"/>
      <c r="F134" s="81">
        <f>IFERROR(E134/D134,"")</f>
        <v/>
      </c>
      <c r="G134" s="80" t="n"/>
      <c r="H134" s="80" t="n"/>
      <c r="I134" s="81">
        <f>IFERROR(H134/E134,"")</f>
        <v/>
      </c>
      <c r="J134" s="80" t="n"/>
    </row>
    <row r="135" ht="15" customHeight="1" s="54">
      <c r="A135" s="80" t="n"/>
      <c r="B135" s="80" t="n"/>
      <c r="C135" s="80" t="n"/>
      <c r="D135" s="80" t="n"/>
      <c r="E135" s="80" t="n"/>
      <c r="F135" s="81">
        <f>IFERROR(E135/D135,"")</f>
        <v/>
      </c>
      <c r="G135" s="80" t="n"/>
      <c r="H135" s="80" t="n"/>
      <c r="I135" s="81">
        <f>IFERROR(H135/E135,"")</f>
        <v/>
      </c>
      <c r="J135" s="80" t="n"/>
    </row>
    <row r="136" ht="15" customHeight="1" s="54">
      <c r="A136" s="80" t="n"/>
      <c r="B136" s="80" t="n"/>
      <c r="C136" s="80" t="n"/>
      <c r="D136" s="80" t="n"/>
      <c r="E136" s="80" t="n"/>
      <c r="F136" s="81">
        <f>IFERROR(E136/D136,"")</f>
        <v/>
      </c>
      <c r="G136" s="80" t="n"/>
      <c r="H136" s="80" t="n"/>
      <c r="I136" s="81">
        <f>IFERROR(H136/E136,"")</f>
        <v/>
      </c>
      <c r="J136" s="80" t="n"/>
    </row>
    <row r="137" ht="15" customHeight="1" s="54">
      <c r="A137" s="80" t="n"/>
      <c r="B137" s="80" t="n"/>
      <c r="C137" s="80" t="n"/>
      <c r="D137" s="80" t="n"/>
      <c r="E137" s="80" t="n"/>
      <c r="F137" s="81">
        <f>IFERROR(E137/D137,"")</f>
        <v/>
      </c>
      <c r="G137" s="80" t="n"/>
      <c r="H137" s="80" t="n"/>
      <c r="I137" s="81">
        <f>IFERROR(H137/E137,"")</f>
        <v/>
      </c>
      <c r="J137" s="80" t="n"/>
    </row>
    <row r="138" ht="15" customHeight="1" s="54">
      <c r="A138" s="80" t="n"/>
      <c r="B138" s="80" t="n"/>
      <c r="C138" s="80" t="n"/>
      <c r="D138" s="80" t="n"/>
      <c r="E138" s="80" t="n"/>
      <c r="F138" s="81">
        <f>IFERROR(E138/D138,"")</f>
        <v/>
      </c>
      <c r="G138" s="80" t="n"/>
      <c r="H138" s="80" t="n"/>
      <c r="I138" s="81">
        <f>IFERROR(H138/E138,"")</f>
        <v/>
      </c>
      <c r="J138" s="80" t="n"/>
    </row>
    <row r="139" ht="15" customHeight="1" s="54">
      <c r="A139" s="80" t="n"/>
      <c r="B139" s="80" t="n"/>
      <c r="C139" s="80" t="n"/>
      <c r="D139" s="80" t="n"/>
      <c r="E139" s="80" t="n"/>
      <c r="F139" s="81">
        <f>IFERROR(E139/D139,"")</f>
        <v/>
      </c>
      <c r="G139" s="80" t="n"/>
      <c r="H139" s="80" t="n"/>
      <c r="I139" s="81">
        <f>IFERROR(H139/E139,"")</f>
        <v/>
      </c>
      <c r="J139" s="80" t="n"/>
    </row>
    <row r="140" ht="15" customHeight="1" s="54">
      <c r="A140" s="80" t="n"/>
      <c r="B140" s="80" t="n"/>
      <c r="C140" s="80" t="n"/>
      <c r="D140" s="80" t="n"/>
      <c r="E140" s="80" t="n"/>
      <c r="F140" s="81">
        <f>IFERROR(E140/D140,"")</f>
        <v/>
      </c>
      <c r="G140" s="80" t="n"/>
      <c r="H140" s="80" t="n"/>
      <c r="I140" s="81">
        <f>IFERROR(H140/E140,"")</f>
        <v/>
      </c>
      <c r="J140" s="80" t="n"/>
    </row>
    <row r="141" ht="15" customHeight="1" s="54">
      <c r="A141" s="80" t="n"/>
      <c r="B141" s="80" t="n"/>
      <c r="C141" s="80" t="n"/>
      <c r="D141" s="80" t="n"/>
      <c r="E141" s="80" t="n"/>
      <c r="F141" s="81">
        <f>IFERROR(E141/D141,"")</f>
        <v/>
      </c>
      <c r="G141" s="80" t="n"/>
      <c r="H141" s="80" t="n"/>
      <c r="I141" s="81">
        <f>IFERROR(H141/E141,"")</f>
        <v/>
      </c>
      <c r="J141" s="80" t="n"/>
    </row>
    <row r="142" ht="15" customHeight="1" s="54">
      <c r="A142" s="80" t="n"/>
      <c r="B142" s="80" t="n"/>
      <c r="C142" s="80" t="n"/>
      <c r="D142" s="80" t="n"/>
      <c r="E142" s="80" t="n"/>
      <c r="F142" s="81">
        <f>IFERROR(E142/D142,"")</f>
        <v/>
      </c>
      <c r="G142" s="80" t="n"/>
      <c r="H142" s="80" t="n"/>
      <c r="I142" s="81">
        <f>IFERROR(H142/E142,"")</f>
        <v/>
      </c>
      <c r="J142" s="80" t="n"/>
    </row>
    <row r="143" ht="15" customHeight="1" s="54">
      <c r="A143" s="80" t="n"/>
      <c r="B143" s="80" t="n"/>
      <c r="C143" s="80" t="n"/>
      <c r="D143" s="80" t="n"/>
      <c r="E143" s="80" t="n"/>
      <c r="F143" s="81">
        <f>IFERROR(E143/D143,"")</f>
        <v/>
      </c>
      <c r="G143" s="80" t="n"/>
      <c r="H143" s="80" t="n"/>
      <c r="I143" s="81">
        <f>IFERROR(H143/E143,"")</f>
        <v/>
      </c>
      <c r="J143" s="80" t="n"/>
    </row>
    <row r="144" ht="15" customHeight="1" s="54">
      <c r="A144" s="80" t="n"/>
      <c r="B144" s="80" t="n"/>
      <c r="C144" s="80" t="n"/>
      <c r="D144" s="80" t="n"/>
      <c r="E144" s="80" t="n"/>
      <c r="F144" s="81">
        <f>IFERROR(E144/D144,"")</f>
        <v/>
      </c>
      <c r="G144" s="80" t="n"/>
      <c r="H144" s="80" t="n"/>
      <c r="I144" s="81">
        <f>IFERROR(H144/E144,"")</f>
        <v/>
      </c>
      <c r="J144" s="80" t="n"/>
    </row>
    <row r="145" ht="15" customHeight="1" s="54">
      <c r="A145" s="80" t="n"/>
      <c r="B145" s="80" t="n"/>
      <c r="C145" s="80" t="n"/>
      <c r="D145" s="80" t="n"/>
      <c r="E145" s="80" t="n"/>
      <c r="F145" s="81">
        <f>IFERROR(E145/D145,"")</f>
        <v/>
      </c>
      <c r="G145" s="80" t="n"/>
      <c r="H145" s="80" t="n"/>
      <c r="I145" s="81">
        <f>IFERROR(H145/E145,"")</f>
        <v/>
      </c>
      <c r="J145" s="80" t="n"/>
    </row>
    <row r="146" ht="15" customHeight="1" s="54">
      <c r="A146" s="80" t="n"/>
      <c r="B146" s="80" t="n"/>
      <c r="C146" s="80" t="n"/>
      <c r="D146" s="80" t="n"/>
      <c r="E146" s="80" t="n"/>
      <c r="F146" s="81">
        <f>IFERROR(E146/D146,"")</f>
        <v/>
      </c>
      <c r="G146" s="80" t="n"/>
      <c r="H146" s="80" t="n"/>
      <c r="I146" s="81">
        <f>IFERROR(H146/E146,"")</f>
        <v/>
      </c>
      <c r="J146" s="80" t="n"/>
    </row>
    <row r="147" ht="15" customHeight="1" s="54">
      <c r="A147" s="80" t="n"/>
      <c r="B147" s="80" t="n"/>
      <c r="C147" s="80" t="n"/>
      <c r="D147" s="80" t="n"/>
      <c r="E147" s="80" t="n"/>
      <c r="F147" s="81">
        <f>IFERROR(E147/D147,"")</f>
        <v/>
      </c>
      <c r="G147" s="80" t="n"/>
      <c r="H147" s="80" t="n"/>
      <c r="I147" s="81">
        <f>IFERROR(H147/E147,"")</f>
        <v/>
      </c>
      <c r="J147" s="80" t="n"/>
    </row>
    <row r="148" ht="15" customHeight="1" s="54">
      <c r="A148" s="80" t="n"/>
      <c r="B148" s="80" t="n"/>
      <c r="C148" s="80" t="n"/>
      <c r="D148" s="80" t="n"/>
      <c r="E148" s="80" t="n"/>
      <c r="F148" s="81">
        <f>IFERROR(E148/D148,"")</f>
        <v/>
      </c>
      <c r="G148" s="80" t="n"/>
      <c r="H148" s="80" t="n"/>
      <c r="I148" s="81">
        <f>IFERROR(H148/E148,"")</f>
        <v/>
      </c>
      <c r="J148" s="80" t="n"/>
    </row>
    <row r="149" ht="15" customHeight="1" s="54">
      <c r="A149" s="80" t="n"/>
      <c r="B149" s="80" t="n"/>
      <c r="C149" s="80" t="n"/>
      <c r="D149" s="80" t="n"/>
      <c r="E149" s="80" t="n"/>
      <c r="F149" s="81">
        <f>IFERROR(E149/D149,"")</f>
        <v/>
      </c>
      <c r="G149" s="80" t="n"/>
      <c r="H149" s="80" t="n"/>
      <c r="I149" s="81">
        <f>IFERROR(H149/E149,"")</f>
        <v/>
      </c>
      <c r="J149" s="80" t="n"/>
    </row>
    <row r="150" ht="15" customHeight="1" s="54">
      <c r="A150" s="80" t="n"/>
      <c r="B150" s="80" t="n"/>
      <c r="C150" s="80" t="n"/>
      <c r="D150" s="80" t="n"/>
      <c r="E150" s="80" t="n"/>
      <c r="F150" s="81">
        <f>IFERROR(E150/D150,"")</f>
        <v/>
      </c>
      <c r="G150" s="80" t="n"/>
      <c r="H150" s="80" t="n"/>
      <c r="I150" s="81">
        <f>IFERROR(H150/E150,"")</f>
        <v/>
      </c>
      <c r="J150" s="80" t="n"/>
    </row>
    <row r="151" ht="15" customHeight="1" s="54">
      <c r="A151" s="80" t="n"/>
      <c r="B151" s="80" t="n"/>
      <c r="C151" s="80" t="n"/>
      <c r="D151" s="80" t="n"/>
      <c r="E151" s="80" t="n"/>
      <c r="F151" s="81">
        <f>IFERROR(E151/D151,"")</f>
        <v/>
      </c>
      <c r="G151" s="80" t="n"/>
      <c r="H151" s="80" t="n"/>
      <c r="I151" s="81">
        <f>IFERROR(H151/E151,"")</f>
        <v/>
      </c>
      <c r="J151" s="80" t="n"/>
    </row>
    <row r="152" ht="15" customHeight="1" s="54">
      <c r="A152" s="80" t="n"/>
      <c r="B152" s="80" t="n"/>
      <c r="C152" s="80" t="n"/>
      <c r="D152" s="80" t="n"/>
      <c r="E152" s="80" t="n"/>
      <c r="F152" s="81">
        <f>IFERROR(E152/D152,"")</f>
        <v/>
      </c>
      <c r="G152" s="80" t="n"/>
      <c r="H152" s="80" t="n"/>
      <c r="I152" s="81">
        <f>IFERROR(H152/E152,"")</f>
        <v/>
      </c>
      <c r="J152" s="80" t="n"/>
    </row>
    <row r="153" ht="15" customHeight="1" s="54">
      <c r="A153" s="80" t="n"/>
      <c r="B153" s="80" t="n"/>
      <c r="C153" s="80" t="n"/>
      <c r="D153" s="80" t="n"/>
      <c r="E153" s="80" t="n"/>
      <c r="F153" s="81">
        <f>IFERROR(E153/D153,"")</f>
        <v/>
      </c>
      <c r="G153" s="80" t="n"/>
      <c r="H153" s="80" t="n"/>
      <c r="I153" s="81">
        <f>IFERROR(H153/E153,"")</f>
        <v/>
      </c>
      <c r="J153" s="80" t="n"/>
    </row>
    <row r="154" ht="15" customHeight="1" s="54">
      <c r="A154" s="80" t="n"/>
      <c r="B154" s="80" t="n"/>
      <c r="C154" s="80" t="n"/>
      <c r="D154" s="80" t="n"/>
      <c r="E154" s="80" t="n"/>
      <c r="F154" s="81">
        <f>IFERROR(E154/D154,"")</f>
        <v/>
      </c>
      <c r="G154" s="80" t="n"/>
      <c r="H154" s="80" t="n"/>
      <c r="I154" s="81">
        <f>IFERROR(H154/E154,"")</f>
        <v/>
      </c>
      <c r="J154" s="80" t="n"/>
    </row>
    <row r="155" ht="15" customHeight="1" s="54">
      <c r="A155" s="80" t="n"/>
      <c r="B155" s="80" t="n"/>
      <c r="C155" s="80" t="n"/>
      <c r="D155" s="80" t="n"/>
      <c r="E155" s="80" t="n"/>
      <c r="F155" s="81">
        <f>IFERROR(E155/D155,"")</f>
        <v/>
      </c>
      <c r="G155" s="80" t="n"/>
      <c r="H155" s="80" t="n"/>
      <c r="I155" s="81">
        <f>IFERROR(H155/E155,"")</f>
        <v/>
      </c>
      <c r="J155" s="80" t="n"/>
    </row>
    <row r="157" ht="15" customHeight="1" s="54">
      <c r="C157" s="82" t="inlineStr">
        <is>
          <t>TOTALS</t>
        </is>
      </c>
      <c r="D157" s="83">
        <f>SUM(D6:D155)</f>
        <v/>
      </c>
      <c r="E157" s="83">
        <f>SUM(E6:E155)</f>
        <v/>
      </c>
      <c r="F157" s="84">
        <f>IFERROR(E157/D157,0)</f>
        <v/>
      </c>
      <c r="H157" s="83">
        <f>SUM(H6:H155)</f>
        <v/>
      </c>
      <c r="I157" s="84">
        <f>IFERROR(H157/E157,0)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0" customWidth="1" style="53" min="1" max="2"/>
    <col width="22" customWidth="1" style="53" min="3" max="3"/>
    <col width="12" customWidth="1" style="53" min="4" max="4"/>
    <col width="10" customWidth="1" style="53" min="5" max="5"/>
    <col width="12" customWidth="1" style="53" min="6" max="6"/>
    <col width="34" customWidth="1" style="53" min="7" max="7"/>
    <col width="13" customWidth="1" style="53" min="8" max="8"/>
    <col width="12" customWidth="1" style="53" min="9" max="9"/>
    <col width="52" customWidth="1" style="53" min="10" max="11"/>
    <col width="12" customWidth="1" style="53" min="12" max="12"/>
  </cols>
  <sheetData>
    <row r="1" ht="17.25" customHeight="1" s="54">
      <c r="A1" s="61" t="inlineStr">
        <is>
          <t>COMPETITOR AUDIT — AUGUST 2026</t>
        </is>
      </c>
    </row>
    <row r="2" ht="15" customHeight="1" s="54">
      <c r="A2" s="56" t="inlineStr">
        <is>
          <t>Manual audit of live sites. Blog post counts approximate (from visible pagination). Re-check monthly.</t>
        </is>
      </c>
    </row>
    <row r="4" ht="31.5" customHeight="1" s="54">
      <c r="A4" s="62" t="inlineStr">
        <is>
          <t>Competitor</t>
        </is>
      </c>
      <c r="B4" s="62" t="inlineStr">
        <is>
          <t>Domain</t>
        </is>
      </c>
      <c r="C4" s="62" t="inlineStr">
        <is>
          <t>Platform</t>
        </is>
      </c>
      <c r="D4" s="62" t="inlineStr">
        <is>
          <t>Owns Domain?</t>
        </is>
      </c>
      <c r="E4" s="62" t="inlineStr">
        <is>
          <t>Has Blog?</t>
        </is>
      </c>
      <c r="F4" s="62" t="inlineStr">
        <is>
          <t>Est. Blog Posts</t>
        </is>
      </c>
      <c r="G4" s="62" t="inlineStr">
        <is>
          <t>Product URL Structure</t>
        </is>
      </c>
      <c r="H4" s="62" t="inlineStr">
        <is>
          <t>Schema Markup</t>
        </is>
      </c>
      <c r="I4" s="62" t="inlineStr">
        <is>
          <t>OG Image OK?</t>
        </is>
      </c>
      <c r="J4" s="62" t="inlineStr">
        <is>
          <t>Strengths</t>
        </is>
      </c>
      <c r="K4" s="62" t="inlineStr">
        <is>
          <t>Weaknesses</t>
        </is>
      </c>
      <c r="L4" s="62" t="inlineStr">
        <is>
          <t>Threat</t>
        </is>
      </c>
    </row>
    <row r="5" ht="73.5" customHeight="1" s="54">
      <c r="A5" s="85" t="inlineStr">
        <is>
          <t>Jindal Hydro Projects (IndiaMART site)</t>
        </is>
      </c>
      <c r="B5" s="85" t="inlineStr">
        <is>
          <t>jindalhydro.com → jindalhydraulics.com</t>
        </is>
      </c>
      <c r="C5" s="85" t="inlineStr">
        <is>
          <t>IndiaMART microsite</t>
        </is>
      </c>
      <c r="D5" s="85" t="inlineStr">
        <is>
          <t>No</t>
        </is>
      </c>
      <c r="E5" s="85" t="inlineStr">
        <is>
          <t>No</t>
        </is>
      </c>
      <c r="F5" s="85" t="n">
        <v>0</v>
      </c>
      <c r="G5" s="85" t="inlineStr">
        <is>
          <t>Anchor fragments (#product) — products cannot rank individually</t>
        </is>
      </c>
      <c r="H5" s="85" t="inlineStr">
        <is>
          <t>Minimal</t>
        </is>
      </c>
      <c r="I5" s="85" t="inlineStr">
        <is>
          <t>No (120x120)</t>
        </is>
      </c>
      <c r="J5" s="85" t="inlineStr">
        <is>
          <t>Established listing, 93% response rate, GST/IEC shown</t>
        </is>
      </c>
      <c r="K5" s="85" t="inlineStr">
        <is>
          <t>Not an owned site; no blog; no schema; obsolete meta-keywords; thin templated copy; products share one URL</t>
        </is>
      </c>
      <c r="L5" s="86" t="inlineStr">
        <is>
          <t>SELF</t>
        </is>
      </c>
    </row>
    <row r="6" ht="73.5" customHeight="1" s="54">
      <c r="A6" s="85" t="inlineStr">
        <is>
          <t>Jindal Hydro Projects (TradeIndia site)</t>
        </is>
      </c>
      <c r="B6" s="85" t="inlineStr">
        <is>
          <t>jindalhydroprojects.com</t>
        </is>
      </c>
      <c r="C6" s="85" t="inlineStr">
        <is>
          <t>TradeIndia microsite</t>
        </is>
      </c>
      <c r="D6" s="85" t="inlineStr">
        <is>
          <t>No</t>
        </is>
      </c>
      <c r="E6" s="85" t="inlineStr">
        <is>
          <t>No</t>
        </is>
      </c>
      <c r="F6" s="85" t="n">
        <v>0</v>
      </c>
      <c r="G6" s="85" t="inlineStr">
        <is>
          <t>Individual .html URLs per product (better than IndiaMART)</t>
        </is>
      </c>
      <c r="H6" s="85" t="inlineStr">
        <is>
          <t>Minimal</t>
        </is>
      </c>
      <c r="I6" s="85" t="inlineStr">
        <is>
          <t>Templated</t>
        </is>
      </c>
      <c r="J6" s="85" t="inlineStr">
        <is>
          <t>Individual product URLs; prices listed; GTM + Search Console verified; export markets named</t>
        </is>
      </c>
      <c r="K6" s="85" t="inlineStr">
        <is>
          <t>Not an owned site; no blog; templated boilerplate copy; platform-controlled; duplicate of IndiaMART content</t>
        </is>
      </c>
      <c r="L6" s="86" t="inlineStr">
        <is>
          <t>SELF</t>
        </is>
      </c>
    </row>
    <row r="7" ht="73.5" customHeight="1" s="54">
      <c r="A7" s="87" t="inlineStr">
        <is>
          <t>Jain Hydraulics Recycling</t>
        </is>
      </c>
      <c r="B7" s="87" t="inlineStr">
        <is>
          <t>jainhydraulics.com</t>
        </is>
      </c>
      <c r="C7" s="87" t="inlineStr">
        <is>
          <t>Own domain (Astro static)</t>
        </is>
      </c>
      <c r="D7" s="87" t="inlineStr">
        <is>
          <t>Yes</t>
        </is>
      </c>
      <c r="E7" s="87" t="inlineStr">
        <is>
          <t>Yes</t>
        </is>
      </c>
      <c r="F7" s="87" t="n">
        <v>8</v>
      </c>
      <c r="G7" s="87" t="inlineStr">
        <is>
          <t>Clean hierarchy /products/balers/triple-action</t>
        </is>
      </c>
      <c r="H7" s="87" t="inlineStr">
        <is>
          <t>Partial</t>
        </is>
      </c>
      <c r="I7" s="87" t="inlineStr">
        <is>
          <t>Yes</t>
        </is>
      </c>
      <c r="J7" s="87" t="inlineStr">
        <is>
          <t>Own domain; clean URL taxonomy; real blog; 2 locations (Delhi + Pune); WhatsApp; active YouTube/Instagram; strong meta setup</t>
        </is>
      </c>
      <c r="K7" s="87" t="inlineStr">
        <is>
          <t>Only ~8 blog posts and they are short; no RVSF/ELV positioning; no agriculture range; no visible schema markup</t>
        </is>
      </c>
      <c r="L7" s="88" t="inlineStr">
        <is>
          <t>HIGH</t>
        </is>
      </c>
    </row>
    <row r="8" ht="73.5" customHeight="1" s="54">
      <c r="A8" s="87" t="inlineStr">
        <is>
          <t>Advance Hydrautech</t>
        </is>
      </c>
      <c r="B8" s="87" t="inlineStr">
        <is>
          <t>advancehydrautech.com</t>
        </is>
      </c>
      <c r="C8" s="87" t="inlineStr">
        <is>
          <t>Own domain (WordPress)</t>
        </is>
      </c>
      <c r="D8" s="87" t="inlineStr">
        <is>
          <t>Yes</t>
        </is>
      </c>
      <c r="E8" s="87" t="inlineStr">
        <is>
          <t>Yes</t>
        </is>
      </c>
      <c r="F8" s="87" t="n">
        <v>20</v>
      </c>
      <c r="G8" s="87" t="inlineStr">
        <is>
          <t>/blog/blog_details/slug</t>
        </is>
      </c>
      <c r="H8" s="87" t="inlineStr">
        <is>
          <t>Partial</t>
        </is>
      </c>
      <c r="I8" s="87" t="inlineStr">
        <is>
          <t>Unknown</t>
        </is>
      </c>
      <c r="J8" s="87" t="inlineStr">
        <is>
          <t>Own domain; blog established since 2014; claims 'India's largest'; long domain history</t>
        </is>
      </c>
      <c r="K8" s="87" t="inlineStr">
        <is>
          <t>Dated site architecture; blog URL structure poor; thin posts; weak technical SEO</t>
        </is>
      </c>
      <c r="L8" s="89" t="inlineStr">
        <is>
          <t>MEDIUM</t>
        </is>
      </c>
    </row>
    <row r="9" ht="73.5" customHeight="1" s="54">
      <c r="A9" s="87" t="inlineStr">
        <is>
          <t>Shreeji Machinery</t>
        </is>
      </c>
      <c r="B9" s="87" t="inlineStr">
        <is>
          <t>shreejimachineryindia.com</t>
        </is>
      </c>
      <c r="C9" s="87" t="inlineStr">
        <is>
          <t>Own domain</t>
        </is>
      </c>
      <c r="D9" s="87" t="inlineStr">
        <is>
          <t>Yes</t>
        </is>
      </c>
      <c r="E9" s="87" t="inlineStr">
        <is>
          <t>No</t>
        </is>
      </c>
      <c r="F9" s="87" t="n">
        <v>0</v>
      </c>
      <c r="G9" s="87" t="inlineStr">
        <is>
          <t>/product-name.html</t>
        </is>
      </c>
      <c r="H9" s="87" t="inlineStr">
        <is>
          <t>Minimal</t>
        </is>
      </c>
      <c r="I9" s="87" t="inlineStr">
        <is>
          <t>Unknown</t>
        </is>
      </c>
      <c r="J9" s="87" t="inlineStr">
        <is>
          <t>Own domain; wide product range; Ahmedabad hub; price transparency on IndiaMART</t>
        </is>
      </c>
      <c r="K9" s="87" t="inlineStr">
        <is>
          <t>No blog; thin product copy; little differentiation; heavy IndiaMART dependence</t>
        </is>
      </c>
      <c r="L9" s="89" t="inlineStr">
        <is>
          <t>MEDIUM</t>
        </is>
      </c>
    </row>
    <row r="10" ht="73.5" customHeight="1" s="54">
      <c r="A10" s="87" t="inlineStr">
        <is>
          <t>JMD Industries</t>
        </is>
      </c>
      <c r="B10" s="87" t="inlineStr">
        <is>
          <t>jmdbaler.com</t>
        </is>
      </c>
      <c r="C10" s="87" t="inlineStr">
        <is>
          <t>Own domain</t>
        </is>
      </c>
      <c r="D10" s="87" t="inlineStr">
        <is>
          <t>Yes</t>
        </is>
      </c>
      <c r="E10" s="87" t="inlineStr">
        <is>
          <t>Yes</t>
        </is>
      </c>
      <c r="F10" s="87" t="n">
        <v>10</v>
      </c>
      <c r="G10" s="87" t="inlineStr">
        <is>
          <t>/blog/slug</t>
        </is>
      </c>
      <c r="H10" s="87" t="inlineStr">
        <is>
          <t>Unknown</t>
        </is>
      </c>
      <c r="I10" s="87" t="inlineStr">
        <is>
          <t>Unknown</t>
        </is>
      </c>
      <c r="J10" s="87" t="inlineStr">
        <is>
          <t>Own domain with blog; baler-focused brand name matches head keyword</t>
        </is>
      </c>
      <c r="K10" s="87" t="inlineStr">
        <is>
          <t>Small content footprint; narrow product range</t>
        </is>
      </c>
      <c r="L10" s="89" t="inlineStr">
        <is>
          <t>MEDIUM</t>
        </is>
      </c>
    </row>
    <row r="11" ht="73.5" customHeight="1" s="54">
      <c r="A11" s="87" t="inlineStr">
        <is>
          <t>Kelvin Water Technologies</t>
        </is>
      </c>
      <c r="B11" s="87" t="inlineStr">
        <is>
          <t>kelvinindia.in</t>
        </is>
      </c>
      <c r="C11" s="87" t="inlineStr">
        <is>
          <t>Own domain (WordPress)</t>
        </is>
      </c>
      <c r="D11" s="87" t="inlineStr">
        <is>
          <t>Yes</t>
        </is>
      </c>
      <c r="E11" s="87" t="inlineStr">
        <is>
          <t>Yes</t>
        </is>
      </c>
      <c r="F11" s="87" t="n">
        <v>30</v>
      </c>
      <c r="G11" s="87" t="inlineStr">
        <is>
          <t>/blog/slug</t>
        </is>
      </c>
      <c r="H11" s="87" t="inlineStr">
        <is>
          <t>Partial</t>
        </is>
      </c>
      <c r="I11" s="87" t="inlineStr">
        <is>
          <t>Yes</t>
        </is>
      </c>
      <c r="J11" s="87" t="inlineStr">
        <is>
          <t>Strong blog cadence; broad environmental-equipment authority; ranks on informational terms</t>
        </is>
      </c>
      <c r="K11" s="87" t="inlineStr">
        <is>
          <t>Balers are a side line, not core; generalist positioning dilutes topical authority</t>
        </is>
      </c>
      <c r="L11" s="89" t="inlineStr">
        <is>
          <t>MEDIUM</t>
        </is>
      </c>
    </row>
    <row r="12" ht="73.5" customHeight="1" s="54">
      <c r="A12" s="87" t="inlineStr">
        <is>
          <t>Mask Hydraulics</t>
        </is>
      </c>
      <c r="B12" s="87" t="inlineStr">
        <is>
          <t>maskhydraulics.com</t>
        </is>
      </c>
      <c r="C12" s="87" t="inlineStr">
        <is>
          <t>Own domain</t>
        </is>
      </c>
      <c r="D12" s="87" t="inlineStr">
        <is>
          <t>Yes</t>
        </is>
      </c>
      <c r="E12" s="87" t="inlineStr">
        <is>
          <t>No</t>
        </is>
      </c>
      <c r="F12" s="87" t="n">
        <v>0</v>
      </c>
      <c r="G12" s="87" t="inlineStr">
        <is>
          <t>/product.html</t>
        </is>
      </c>
      <c r="H12" s="87" t="inlineStr">
        <is>
          <t>Minimal</t>
        </is>
      </c>
      <c r="I12" s="87" t="inlineStr">
        <is>
          <t>Unknown</t>
        </is>
      </c>
      <c r="J12" s="87" t="inlineStr">
        <is>
          <t>Own domain; Ahmedabad manufacturing hub; export positioning</t>
        </is>
      </c>
      <c r="K12" s="87" t="inlineStr">
        <is>
          <t>No blog; static thin content; weak on-page SEO</t>
        </is>
      </c>
      <c r="L12" s="90" t="inlineStr">
        <is>
          <t>LOW</t>
        </is>
      </c>
    </row>
    <row r="13" ht="73.5" customHeight="1" s="54">
      <c r="A13" s="87" t="inlineStr">
        <is>
          <t>IndiaMART (category pages)</t>
        </is>
      </c>
      <c r="B13" s="87" t="inlineStr">
        <is>
          <t>dir.indiamart.com</t>
        </is>
      </c>
      <c r="C13" s="87" t="inlineStr">
        <is>
          <t>Marketplace</t>
        </is>
      </c>
      <c r="D13" s="87" t="inlineStr">
        <is>
          <t>Yes</t>
        </is>
      </c>
      <c r="E13" s="87" t="inlineStr">
        <is>
          <t>No</t>
        </is>
      </c>
      <c r="F13" s="87" t="n">
        <v>0</v>
      </c>
      <c r="G13" s="87" t="inlineStr">
        <is>
          <t>/impcat/keyword.html</t>
        </is>
      </c>
      <c r="H13" s="87" t="inlineStr">
        <is>
          <t>Yes</t>
        </is>
      </c>
      <c r="I13" s="87" t="inlineStr">
        <is>
          <t>Yes</t>
        </is>
      </c>
      <c r="J13" s="87" t="inlineStr">
        <is>
          <t>Dominates page one for nearly every commercial head term; enormous domain authority; price aggregation</t>
        </is>
      </c>
      <c r="K13" s="87" t="inlineStr">
        <is>
          <t>Not a manufacturer — a directory. Cannot be beaten on head terms; must be outflanked on informational and long-tail</t>
        </is>
      </c>
      <c r="L13" s="91" t="inlineStr">
        <is>
          <t>VERY HIGH</t>
        </is>
      </c>
    </row>
    <row r="14" ht="73.5" customHeight="1" s="54">
      <c r="A14" s="87" t="inlineStr">
        <is>
          <t>TradeIndia (category pages)</t>
        </is>
      </c>
      <c r="B14" s="87" t="inlineStr">
        <is>
          <t>tradeindia.com</t>
        </is>
      </c>
      <c r="C14" s="87" t="inlineStr">
        <is>
          <t>Marketplace</t>
        </is>
      </c>
      <c r="D14" s="87" t="inlineStr">
        <is>
          <t>Yes</t>
        </is>
      </c>
      <c r="E14" s="87" t="inlineStr">
        <is>
          <t>No</t>
        </is>
      </c>
      <c r="F14" s="87" t="n">
        <v>0</v>
      </c>
      <c r="G14" s="87" t="inlineStr">
        <is>
          <t>/manufacturers/keyword.html</t>
        </is>
      </c>
      <c r="H14" s="87" t="inlineStr">
        <is>
          <t>Yes</t>
        </is>
      </c>
      <c r="I14" s="87" t="inlineStr">
        <is>
          <t>Yes</t>
        </is>
      </c>
      <c r="J14" s="87" t="inlineStr">
        <is>
          <t>Same as IndiaMART — directory dominance on transactional head terms</t>
        </is>
      </c>
      <c r="K14" s="87" t="inlineStr">
        <is>
          <t>Directory, not manufacturer; no depth on how-to or specification content</t>
        </is>
      </c>
      <c r="L14" s="91" t="inlineStr">
        <is>
          <t>VERY HIGH</t>
        </is>
      </c>
    </row>
    <row r="15" ht="73.5" customHeight="1" s="54">
      <c r="A15" s="87" t="inlineStr">
        <is>
          <t>PRAB (US)</t>
        </is>
      </c>
      <c r="B15" s="87" t="inlineStr">
        <is>
          <t>prab.com</t>
        </is>
      </c>
      <c r="C15" s="87" t="inlineStr">
        <is>
          <t>Own domain (WordPress + Yoast)</t>
        </is>
      </c>
      <c r="D15" s="87" t="inlineStr">
        <is>
          <t>Yes</t>
        </is>
      </c>
      <c r="E15" s="87" t="inlineStr">
        <is>
          <t>Yes</t>
        </is>
      </c>
      <c r="F15" s="87" t="n">
        <v>100</v>
      </c>
      <c r="G15" s="87" t="inlineStr">
        <is>
          <t>/metal-scrap-processing-equipment/category/</t>
        </is>
      </c>
      <c r="H15" s="87" t="inlineStr">
        <is>
          <t>Yes (Article)</t>
        </is>
      </c>
      <c r="I15" s="87" t="inlineStr">
        <is>
          <t>Yes</t>
        </is>
      </c>
      <c r="J15" s="87" t="inlineStr">
        <is>
          <t>Benchmark for the category: benefit-led meta descriptions with hard numbers ('capture up to 99% of coolant', 'ROI within one year'), deep resource library, FAQ hub, video embeds, published/modified timestamps</t>
        </is>
      </c>
      <c r="K15" s="87" t="inlineStr">
        <is>
          <t>US-focused; not a competitor for Indian buyers — but the model to copy for content depth</t>
        </is>
      </c>
      <c r="L15" s="92" t="inlineStr">
        <is>
          <t>REFERENCE</t>
        </is>
      </c>
    </row>
    <row r="16" ht="73.5" customHeight="1" s="54">
      <c r="A16" s="87" t="inlineStr">
        <is>
          <t>Sinobaler (China)</t>
        </is>
      </c>
      <c r="B16" s="87" t="inlineStr">
        <is>
          <t>sinobaler.com</t>
        </is>
      </c>
      <c r="C16" s="87" t="inlineStr">
        <is>
          <t>Own domain</t>
        </is>
      </c>
      <c r="D16" s="87" t="inlineStr">
        <is>
          <t>Yes</t>
        </is>
      </c>
      <c r="E16" s="87" t="inlineStr">
        <is>
          <t>Yes</t>
        </is>
      </c>
      <c r="F16" s="87" t="n">
        <v>50</v>
      </c>
      <c r="G16" s="87" t="inlineStr">
        <is>
          <t>/category/product</t>
        </is>
      </c>
      <c r="H16" s="87" t="inlineStr">
        <is>
          <t>Partial</t>
        </is>
      </c>
      <c r="I16" s="87" t="inlineStr">
        <is>
          <t>Yes</t>
        </is>
      </c>
      <c r="J16" s="87" t="inlineStr">
        <is>
          <t>Strong export SEO; ranks internationally on generic baler terms; clear capacity specs upfront</t>
        </is>
      </c>
      <c r="K16" s="87" t="inlineStr">
        <is>
          <t>Chinese-origin perception in some export markets — an opening for Indian manufacturers on quality/service</t>
        </is>
      </c>
      <c r="L16" s="92" t="inlineStr">
        <is>
          <t>REFERENCE</t>
        </is>
      </c>
    </row>
    <row r="17" ht="73.5" customHeight="1" s="54">
      <c r="A17" s="87" t="inlineStr">
        <is>
          <t>WEIMA (Germany)</t>
        </is>
      </c>
      <c r="B17" s="87" t="inlineStr">
        <is>
          <t>weima.com</t>
        </is>
      </c>
      <c r="C17" s="87" t="inlineStr">
        <is>
          <t>Own domain</t>
        </is>
      </c>
      <c r="D17" s="87" t="inlineStr">
        <is>
          <t>Yes</t>
        </is>
      </c>
      <c r="E17" s="87" t="inlineStr">
        <is>
          <t>Yes</t>
        </is>
      </c>
      <c r="F17" s="87" t="n">
        <v>80</v>
      </c>
      <c r="G17" s="87" t="inlineStr">
        <is>
          <t>/en/category/</t>
        </is>
      </c>
      <c r="H17" s="87" t="inlineStr">
        <is>
          <t>Yes</t>
        </is>
      </c>
      <c r="I17" s="87" t="inlineStr">
        <is>
          <t>Yes</t>
        </is>
      </c>
      <c r="J17" s="87" t="inlineStr">
        <is>
          <t>Premium positioning; excellent technical content depth; multi-language</t>
        </is>
      </c>
      <c r="K17" s="87" t="inlineStr">
        <is>
          <t>Premium price point; not price-competitive in India/Africa/South Asia</t>
        </is>
      </c>
      <c r="L17" s="92" t="inlineStr">
        <is>
          <t>REFERENCE</t>
        </is>
      </c>
    </row>
    <row r="19" ht="61.5" customHeight="1" s="54">
      <c r="A19" s="93" t="inlineStr">
        <is>
          <t>KEY TAKEAWAY: IndiaMART and TradeIndia own the transactional head terms and cannot be beaten there. Jain Hydraulics is the only Indian manufacturer with a real owned site plus blog — and it has roughly 8 short posts. That is the opening: a proper JHP site publishing 2 researched posts a day would out-cover every Indian competitor within one month, on informational, comparison, spares and RVSF terms none of them target.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53" min="1" max="1"/>
    <col width="78" customWidth="1" style="53" min="2" max="2"/>
    <col width="32" customWidth="1" style="53" min="3" max="3"/>
    <col width="12" customWidth="1" style="53" min="4" max="4"/>
    <col width="16" customWidth="1" style="53" min="5" max="5"/>
    <col width="22" customWidth="1" style="53" min="6" max="6"/>
  </cols>
  <sheetData>
    <row r="1" ht="17.25" customHeight="1" s="54">
      <c r="A1" s="61" t="inlineStr">
        <is>
          <t>CONTENT GAPS — WHAT NOBODY OWNS YET</t>
        </is>
      </c>
    </row>
    <row r="2" ht="15" customHeight="1" s="54">
      <c r="A2" s="56" t="inlineStr">
        <is>
          <t>Ranked by opportunity. These are the topic areas where JHP can rank fastest because no competitor has covered them.</t>
        </is>
      </c>
    </row>
    <row r="4" ht="31.5" customHeight="1" s="54">
      <c r="A4" s="62" t="inlineStr">
        <is>
          <t>Topic Area</t>
        </is>
      </c>
      <c r="B4" s="62" t="inlineStr">
        <is>
          <t>Why It's A Gap</t>
        </is>
      </c>
      <c r="C4" s="62" t="inlineStr">
        <is>
          <t>Who Owns It Now</t>
        </is>
      </c>
      <c r="D4" s="62" t="inlineStr">
        <is>
          <t>Difficulty</t>
        </is>
      </c>
      <c r="E4" s="62" t="inlineStr">
        <is>
          <t>Opportunity Score</t>
        </is>
      </c>
      <c r="F4" s="62" t="inlineStr">
        <is>
          <t>Target Cluster</t>
        </is>
      </c>
    </row>
    <row r="5" ht="42" customHeight="1" s="54">
      <c r="A5" s="87" t="inlineStr">
        <is>
          <t>RVSF / ELV machinery guidance</t>
        </is>
      </c>
      <c r="B5" s="87" t="inlineStr">
        <is>
          <t>Almost no Indian machinery manufacturer publishes serious RVSF setup content. Policy demand is rising fast and searches are commercial-intent.</t>
        </is>
      </c>
      <c r="C5" s="87" t="inlineStr">
        <is>
          <t>Consultants and news sites, not manufacturers</t>
        </is>
      </c>
      <c r="D5" s="87" t="inlineStr">
        <is>
          <t>Low</t>
        </is>
      </c>
      <c r="E5" s="66" t="n">
        <v>95</v>
      </c>
      <c r="F5" s="87" t="inlineStr">
        <is>
          <t>ELV / RVSF</t>
        </is>
      </c>
    </row>
    <row r="6" ht="42" customHeight="1" s="54">
      <c r="A6" s="87" t="inlineStr">
        <is>
          <t>Machine specification deep-dives</t>
        </is>
      </c>
      <c r="B6" s="87" t="inlineStr">
        <is>
          <t>Competitors list specs in tables but nobody explains what cylinder force, cycle time or BHN grade actually mean for buying decisions.</t>
        </is>
      </c>
      <c r="C6" s="87" t="inlineStr">
        <is>
          <t>Nobody</t>
        </is>
      </c>
      <c r="D6" s="87" t="inlineStr">
        <is>
          <t>Low</t>
        </is>
      </c>
      <c r="E6" s="66" t="n">
        <v>90</v>
      </c>
      <c r="F6" s="87" t="inlineStr">
        <is>
          <t>Informational</t>
        </is>
      </c>
    </row>
    <row r="7" ht="42" customHeight="1" s="54">
      <c r="A7" s="87" t="inlineStr">
        <is>
          <t>Comparison content (X vs Y)</t>
        </is>
      </c>
      <c r="B7" s="87" t="inlineStr">
        <is>
          <t>Buyers search these constantly. Zero Indian manufacturers publish honest comparisons.</t>
        </is>
      </c>
      <c r="C7" s="87" t="inlineStr">
        <is>
          <t>Nobody</t>
        </is>
      </c>
      <c r="D7" s="87" t="inlineStr">
        <is>
          <t>Very Low</t>
        </is>
      </c>
      <c r="E7" s="66" t="n">
        <v>88</v>
      </c>
      <c r="F7" s="87" t="inlineStr">
        <is>
          <t>Comparison</t>
        </is>
      </c>
    </row>
    <row r="8" ht="42" customHeight="1" s="54">
      <c r="A8" s="87" t="inlineStr">
        <is>
          <t>Total cost of ownership / ROI maths</t>
        </is>
      </c>
      <c r="B8" s="87" t="inlineStr">
        <is>
          <t>PRAB does this well in the US. No Indian manufacturer publishes payback calculations.</t>
        </is>
      </c>
      <c r="C8" s="87" t="inlineStr">
        <is>
          <t>PRAB (US only)</t>
        </is>
      </c>
      <c r="D8" s="87" t="inlineStr">
        <is>
          <t>Low</t>
        </is>
      </c>
      <c r="E8" s="66" t="n">
        <v>87</v>
      </c>
      <c r="F8" s="87" t="inlineStr">
        <is>
          <t>Briquetting/Balers</t>
        </is>
      </c>
    </row>
    <row r="9" ht="42" customHeight="1" s="54">
      <c r="A9" s="87" t="inlineStr">
        <is>
          <t>Spares, service and AMC content</t>
        </is>
      </c>
      <c r="B9" s="87" t="inlineStr">
        <is>
          <t>Very high commercial intent, almost no competition. Existing owners search these terms.</t>
        </is>
      </c>
      <c r="C9" s="87" t="inlineStr">
        <is>
          <t>Nobody</t>
        </is>
      </c>
      <c r="D9" s="87" t="inlineStr">
        <is>
          <t>Very Low</t>
        </is>
      </c>
      <c r="E9" s="66" t="n">
        <v>85</v>
      </c>
      <c r="F9" s="87" t="inlineStr">
        <is>
          <t>Service &amp; Spares</t>
        </is>
      </c>
    </row>
    <row r="10" ht="42" customHeight="1" s="54">
      <c r="A10" s="87" t="inlineStr">
        <is>
          <t>Agriculture waste machinery</t>
        </is>
      </c>
      <c r="B10" s="87" t="inlineStr">
        <is>
          <t>Fodder block and straw baling content is thin, and stubble-burning policy drives large seasonal search volume.</t>
        </is>
      </c>
      <c r="C10" s="87" t="inlineStr">
        <is>
          <t>Government/NGO sites</t>
        </is>
      </c>
      <c r="D10" s="87" t="inlineStr">
        <is>
          <t>Low</t>
        </is>
      </c>
      <c r="E10" s="66" t="n">
        <v>82</v>
      </c>
      <c r="F10" s="87" t="inlineStr">
        <is>
          <t>Agriculture</t>
        </is>
      </c>
    </row>
    <row r="11" ht="42" customHeight="1" s="54">
      <c r="A11" s="87" t="inlineStr">
        <is>
          <t>Maintenance and troubleshooting</t>
        </is>
      </c>
      <c r="B11" s="87" t="inlineStr">
        <is>
          <t>Retains existing customers and captures owners of competitor machines.</t>
        </is>
      </c>
      <c r="C11" s="87" t="inlineStr">
        <is>
          <t>Nobody</t>
        </is>
      </c>
      <c r="D11" s="87" t="inlineStr">
        <is>
          <t>Very Low</t>
        </is>
      </c>
      <c r="E11" s="66" t="n">
        <v>80</v>
      </c>
      <c r="F11" s="87" t="inlineStr">
        <is>
          <t>Informational</t>
        </is>
      </c>
    </row>
    <row r="12" ht="42" customHeight="1" s="54">
      <c r="A12" s="87" t="inlineStr">
        <is>
          <t>Local/city landing pages</t>
        </is>
      </c>
      <c r="B12" s="87" t="inlineStr">
        <is>
          <t>Nobody has built city-level pages for scrap machinery in India.</t>
        </is>
      </c>
      <c r="C12" s="87" t="inlineStr">
        <is>
          <t>IndiaMART only</t>
        </is>
      </c>
      <c r="D12" s="87" t="inlineStr">
        <is>
          <t>Very Low</t>
        </is>
      </c>
      <c r="E12" s="66" t="n">
        <v>78</v>
      </c>
      <c r="F12" s="87" t="inlineStr">
        <is>
          <t>Local SEO</t>
        </is>
      </c>
    </row>
    <row r="13" ht="42" customHeight="1" s="54">
      <c r="A13" s="87" t="inlineStr">
        <is>
          <t>Case studies with named outcomes</t>
        </is>
      </c>
      <c r="B13" s="87" t="inlineStr">
        <is>
          <t>No Indian manufacturer publishes installation case studies with throughput/payback numbers.</t>
        </is>
      </c>
      <c r="C13" s="87" t="inlineStr">
        <is>
          <t>Nobody</t>
        </is>
      </c>
      <c r="D13" s="87" t="inlineStr">
        <is>
          <t>Low</t>
        </is>
      </c>
      <c r="E13" s="66" t="n">
        <v>76</v>
      </c>
      <c r="F13" s="87" t="inlineStr">
        <is>
          <t>Trust</t>
        </is>
      </c>
    </row>
    <row r="14" ht="42" customHeight="1" s="54">
      <c r="A14" s="87" t="inlineStr">
        <is>
          <t>Export buyer guidance</t>
        </is>
      </c>
      <c r="B14" s="87" t="inlineStr">
        <is>
          <t>Overseas buyers searching for Indian suppliers find directories, not manufacturer guidance on documentation, terms and inspection.</t>
        </is>
      </c>
      <c r="C14" s="87" t="inlineStr">
        <is>
          <t>Nobody</t>
        </is>
      </c>
      <c r="D14" s="87" t="inlineStr">
        <is>
          <t>Low</t>
        </is>
      </c>
      <c r="E14" s="66" t="n">
        <v>75</v>
      </c>
      <c r="F14" s="87" t="inlineStr">
        <is>
          <t>Export</t>
        </is>
      </c>
    </row>
    <row r="15" ht="42" customHeight="1" s="54">
      <c r="A15" s="87" t="inlineStr">
        <is>
          <t>Video + schema-rich product pages</t>
        </is>
      </c>
      <c r="B15" s="87" t="inlineStr">
        <is>
          <t>Jain Hydraulics has video; nobody has combined video with Product/FAQ schema for rich results.</t>
        </is>
      </c>
      <c r="C15" s="87" t="inlineStr">
        <is>
          <t>Nobody</t>
        </is>
      </c>
      <c r="D15" s="87" t="inlineStr">
        <is>
          <t>Medium</t>
        </is>
      </c>
      <c r="E15" s="66" t="n">
        <v>72</v>
      </c>
      <c r="F15" s="87" t="inlineStr">
        <is>
          <t>Technical</t>
        </is>
      </c>
    </row>
    <row r="16" ht="42" customHeight="1" s="54">
      <c r="A16" s="87" t="inlineStr">
        <is>
          <t>Scrap grades and pricing education</t>
        </is>
      </c>
      <c r="B16" s="87" t="inlineStr">
        <is>
          <t>High search volume (GST on scrap, scrap grades). Draws in the whole buyer universe.</t>
        </is>
      </c>
      <c r="C16" s="87" t="inlineStr">
        <is>
          <t>Accounting/news sites</t>
        </is>
      </c>
      <c r="D16" s="87" t="inlineStr">
        <is>
          <t>Medium</t>
        </is>
      </c>
      <c r="E16" s="66" t="n">
        <v>70</v>
      </c>
      <c r="F16" s="87" t="inlineStr">
        <is>
          <t>Informational</t>
        </is>
      </c>
    </row>
  </sheetData>
  <conditionalFormatting sqref="E5:E16">
    <cfRule type="colorScale" priority="2">
      <colorScale>
        <cfvo type="min" val="0"/>
        <cfvo type="max" val="0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53" min="1" max="1"/>
    <col width="13" customWidth="1" style="53" min="2" max="2"/>
    <col width="8" customWidth="1" style="53" min="3" max="3"/>
    <col width="6" customWidth="1" style="53" min="4" max="4"/>
    <col width="12" customWidth="1" style="53" min="5" max="5"/>
    <col width="72" customWidth="1" style="53" min="6" max="6"/>
    <col width="44" customWidth="1" style="53" min="7" max="7"/>
    <col width="20" customWidth="1" style="53" min="8" max="8"/>
    <col width="14" customWidth="1" style="53" min="9" max="9"/>
    <col width="12" customWidth="1" style="53" min="10" max="10"/>
    <col width="32" customWidth="1" style="53" min="11" max="11"/>
    <col width="11" customWidth="1" style="53" min="12" max="12"/>
  </cols>
  <sheetData>
    <row r="1" ht="17.25" customHeight="1" s="54">
      <c r="A1" s="61" t="inlineStr">
        <is>
          <t>BLOG PIPELINE — 2/DAY MON-SAT + SUNDAY DEEP DIVE</t>
        </is>
      </c>
    </row>
    <row r="2" ht="15" customHeight="1" s="54">
      <c r="A2" s="56" t="inlineStr">
        <is>
          <t>Auto-ordered by Priority Score. Titles are working titles — the daily run refines them after that day's keyword research.</t>
        </is>
      </c>
    </row>
    <row r="4" ht="31.5" customHeight="1" s="54">
      <c r="A4" s="62" t="inlineStr">
        <is>
          <t>Day</t>
        </is>
      </c>
      <c r="B4" s="62" t="inlineStr">
        <is>
          <t>Date</t>
        </is>
      </c>
      <c r="C4" s="62" t="inlineStr">
        <is>
          <t>Weekday</t>
        </is>
      </c>
      <c r="D4" s="62" t="inlineStr">
        <is>
          <t>Slot</t>
        </is>
      </c>
      <c r="E4" s="62" t="inlineStr">
        <is>
          <t>Type</t>
        </is>
      </c>
      <c r="F4" s="62" t="inlineStr">
        <is>
          <t>Working Title</t>
        </is>
      </c>
      <c r="G4" s="62" t="inlineStr">
        <is>
          <t>Primary Keyword</t>
        </is>
      </c>
      <c r="H4" s="62" t="inlineStr">
        <is>
          <t>Category</t>
        </is>
      </c>
      <c r="I4" s="62" t="inlineStr">
        <is>
          <t>Intent</t>
        </is>
      </c>
      <c r="J4" s="62" t="inlineStr">
        <is>
          <t>Target Words</t>
        </is>
      </c>
      <c r="K4" s="62" t="inlineStr">
        <is>
          <t>Target Page</t>
        </is>
      </c>
      <c r="L4" s="62" t="inlineStr">
        <is>
          <t>Written?</t>
        </is>
      </c>
    </row>
    <row r="5" ht="15" customHeight="1" s="54">
      <c r="A5" s="63" t="n">
        <v>1</v>
      </c>
      <c r="B5" s="63" t="inlineStr">
        <is>
          <t>03-Aug-2026</t>
        </is>
      </c>
      <c r="C5" s="63" t="inlineStr">
        <is>
          <t>Mon</t>
        </is>
      </c>
      <c r="D5" s="63" t="n">
        <v>1</v>
      </c>
      <c r="E5" s="63" t="inlineStr">
        <is>
          <t>Standard</t>
        </is>
      </c>
      <c r="F5" s="63" t="inlineStr">
        <is>
          <t>RVSF Machinery Checklist: Every Machine You Need to Set Up a Vehicle Scrapping Facility in India</t>
        </is>
      </c>
      <c r="G5" s="63" t="inlineStr">
        <is>
          <t>rvsf machinery</t>
        </is>
      </c>
      <c r="H5" s="63" t="inlineStr">
        <is>
          <t>ELV / RVSF</t>
        </is>
      </c>
      <c r="I5" s="63" t="inlineStr">
        <is>
          <t>Transactional</t>
        </is>
      </c>
      <c r="J5" s="63" t="n">
        <v>1768</v>
      </c>
      <c r="K5" s="63" t="inlineStr">
        <is>
          <t>/blog/rvsf-machinery-checklist-india</t>
        </is>
      </c>
      <c r="L5" s="94" t="inlineStr">
        <is>
          <t>YES</t>
        </is>
      </c>
    </row>
    <row r="6" ht="15" customHeight="1" s="54">
      <c r="A6" s="63" t="n">
        <v>1</v>
      </c>
      <c r="B6" s="63" t="inlineStr">
        <is>
          <t>03-Aug-2026</t>
        </is>
      </c>
      <c r="C6" s="63" t="inlineStr">
        <is>
          <t>Mon</t>
        </is>
      </c>
      <c r="D6" s="63" t="n">
        <v>2</v>
      </c>
      <c r="E6" s="63" t="inlineStr">
        <is>
          <t>Standard</t>
        </is>
      </c>
      <c r="F6" s="63" t="inlineStr">
        <is>
          <t>Metal Briquetting Machines: How Chip Recycling Pays for Itself</t>
        </is>
      </c>
      <c r="G6" s="63" t="inlineStr">
        <is>
          <t>metal briquetting machine</t>
        </is>
      </c>
      <c r="H6" s="63" t="inlineStr">
        <is>
          <t>Briquetting</t>
        </is>
      </c>
      <c r="I6" s="63" t="inlineStr">
        <is>
          <t>Transactional</t>
        </is>
      </c>
      <c r="J6" s="63" t="n">
        <v>1481</v>
      </c>
      <c r="K6" s="63" t="inlineStr">
        <is>
          <t>/blog/metal-briquetting-machine-roi</t>
        </is>
      </c>
      <c r="L6" s="94" t="inlineStr">
        <is>
          <t>YES</t>
        </is>
      </c>
    </row>
    <row r="7" ht="15" customHeight="1" s="54">
      <c r="A7" s="63" t="n">
        <v>1</v>
      </c>
      <c r="B7" s="63" t="inlineStr">
        <is>
          <t>03-Aug-2026</t>
        </is>
      </c>
      <c r="C7" s="63" t="inlineStr">
        <is>
          <t>Mon</t>
        </is>
      </c>
      <c r="D7" s="63" t="n">
        <v>3</v>
      </c>
      <c r="E7" s="63" t="inlineStr">
        <is>
          <t>Standard</t>
        </is>
      </c>
      <c r="F7" s="63" t="inlineStr">
        <is>
          <t>Types of Scrap Baling Machines: A Buyer's Guide to Choosing the Right Press</t>
        </is>
      </c>
      <c r="G7" s="63" t="inlineStr">
        <is>
          <t>types of scrap baling machines</t>
        </is>
      </c>
      <c r="H7" s="63" t="inlineStr">
        <is>
          <t>Informational</t>
        </is>
      </c>
      <c r="I7" s="63" t="inlineStr">
        <is>
          <t>Transactional</t>
        </is>
      </c>
      <c r="J7" s="63" t="n">
        <v>1886</v>
      </c>
      <c r="K7" s="63" t="inlineStr">
        <is>
          <t>/blog/types-of-scrap-baling-machines</t>
        </is>
      </c>
      <c r="L7" s="94" t="inlineStr">
        <is>
          <t>YES</t>
        </is>
      </c>
    </row>
    <row r="8" ht="15" customHeight="1" s="54">
      <c r="A8" s="67" t="n">
        <v>2</v>
      </c>
      <c r="B8" s="67" t="inlineStr">
        <is>
          <t>04-Aug-2026</t>
        </is>
      </c>
      <c r="C8" s="67" t="inlineStr">
        <is>
          <t>Tue</t>
        </is>
      </c>
      <c r="D8" s="67" t="n">
        <v>1</v>
      </c>
      <c r="E8" s="67" t="inlineStr">
        <is>
          <t>Standard</t>
        </is>
      </c>
      <c r="F8" s="67" t="inlineStr">
        <is>
          <t>Baling press machine: Specifications, Sizing and What to Check Before You Buy</t>
        </is>
      </c>
      <c r="G8" s="67" t="inlineStr">
        <is>
          <t>baling press machine</t>
        </is>
      </c>
      <c r="H8" s="67" t="inlineStr">
        <is>
          <t>Balers</t>
        </is>
      </c>
      <c r="I8" s="67" t="inlineStr">
        <is>
          <t>Transactional</t>
        </is>
      </c>
      <c r="J8" s="67" t="n">
        <v>1500</v>
      </c>
      <c r="K8" s="67" t="inlineStr">
        <is>
          <t>/products/balers</t>
        </is>
      </c>
      <c r="L8" s="80" t="n"/>
    </row>
    <row r="9" ht="15" customHeight="1" s="54">
      <c r="A9" s="67" t="n">
        <v>2</v>
      </c>
      <c r="B9" s="67" t="inlineStr">
        <is>
          <t>04-Aug-2026</t>
        </is>
      </c>
      <c r="C9" s="67" t="inlineStr">
        <is>
          <t>Tue</t>
        </is>
      </c>
      <c r="D9" s="67" t="n">
        <v>2</v>
      </c>
      <c r="E9" s="67" t="inlineStr">
        <is>
          <t>Standard</t>
        </is>
      </c>
      <c r="F9" s="67" t="inlineStr">
        <is>
          <t>Scrap Baling Press Machine: How to Read the Spec Sheet and Size the Press</t>
        </is>
      </c>
      <c r="G9" s="67" t="inlineStr">
        <is>
          <t>scrap baling press machine</t>
        </is>
      </c>
      <c r="H9" s="67" t="inlineStr">
        <is>
          <t>Balers</t>
        </is>
      </c>
      <c r="I9" s="67" t="inlineStr">
        <is>
          <t>Transactional</t>
        </is>
      </c>
      <c r="J9" s="67" t="n">
        <v>1878</v>
      </c>
      <c r="K9" s="67" t="inlineStr">
        <is>
          <t>/products/balers</t>
        </is>
      </c>
      <c r="L9" s="80" t="inlineStr">
        <is>
          <t>YES</t>
        </is>
      </c>
    </row>
    <row r="10" ht="15" customHeight="1" s="54">
      <c r="A10" s="63" t="n">
        <v>3</v>
      </c>
      <c r="B10" s="63" t="inlineStr">
        <is>
          <t>05-Aug-2026</t>
        </is>
      </c>
      <c r="C10" s="63" t="inlineStr">
        <is>
          <t>Wed</t>
        </is>
      </c>
      <c r="D10" s="63" t="n">
        <v>1</v>
      </c>
      <c r="E10" s="63" t="inlineStr">
        <is>
          <t>Standard</t>
        </is>
      </c>
      <c r="F10" s="63" t="inlineStr">
        <is>
          <t>Vehicle Scrapping Policy India 2026: What Buyers Need to Know</t>
        </is>
      </c>
      <c r="G10" s="63" t="inlineStr">
        <is>
          <t>vehicle scrapping policy india 2026</t>
        </is>
      </c>
      <c r="H10" s="63" t="inlineStr">
        <is>
          <t>ELV / RVSF</t>
        </is>
      </c>
      <c r="I10" s="63" t="inlineStr">
        <is>
          <t>Informational</t>
        </is>
      </c>
      <c r="J10" s="63" t="n">
        <v>1904</v>
      </c>
      <c r="K10" s="63" t="inlineStr">
        <is>
          <t>/blog/vehicle-scrappage-policy</t>
        </is>
      </c>
      <c r="L10" s="80" t="inlineStr">
        <is>
          <t>YES</t>
        </is>
      </c>
    </row>
    <row r="11" ht="15" customHeight="1" s="54">
      <c r="A11" s="63" t="n">
        <v>3</v>
      </c>
      <c r="B11" s="63" t="inlineStr">
        <is>
          <t>05-Aug-2026</t>
        </is>
      </c>
      <c r="C11" s="63" t="inlineStr">
        <is>
          <t>Wed</t>
        </is>
      </c>
      <c r="D11" s="63" t="n">
        <v>2</v>
      </c>
      <c r="E11" s="63" t="inlineStr">
        <is>
          <t>Standard</t>
        </is>
      </c>
      <c r="F11" s="63" t="inlineStr">
        <is>
          <t>Plastic Waste Management Rules in India: What the 2026 Amendment Changes for Processors</t>
        </is>
      </c>
      <c r="G11" s="63" t="inlineStr">
        <is>
          <t>plastic waste management rules india</t>
        </is>
      </c>
      <c r="H11" s="63" t="inlineStr">
        <is>
          <t>Thought Leadership</t>
        </is>
      </c>
      <c r="I11" s="63" t="inlineStr">
        <is>
          <t>Informational</t>
        </is>
      </c>
      <c r="J11" s="63" t="n">
        <v>1829</v>
      </c>
      <c r="K11" s="63" t="inlineStr">
        <is>
          <t>/blog/plastic-waste-rules</t>
        </is>
      </c>
      <c r="L11" s="80" t="inlineStr">
        <is>
          <t>YES</t>
        </is>
      </c>
    </row>
    <row r="12" ht="15" customHeight="1" s="54">
      <c r="A12" s="67" t="n">
        <v>4</v>
      </c>
      <c r="B12" s="67" t="inlineStr">
        <is>
          <t>06-Aug-2026</t>
        </is>
      </c>
      <c r="C12" s="67" t="inlineStr">
        <is>
          <t>Thu</t>
        </is>
      </c>
      <c r="D12" s="67" t="n">
        <v>1</v>
      </c>
      <c r="E12" s="67" t="inlineStr">
        <is>
          <t>Standard</t>
        </is>
      </c>
      <c r="F12" s="67" t="inlineStr">
        <is>
          <t>Hydraulic Baling Press: How the Hydraulics Actually Work, and What Goes Wrong</t>
        </is>
      </c>
      <c r="G12" s="67" t="inlineStr">
        <is>
          <t>hydraulic baling press</t>
        </is>
      </c>
      <c r="H12" s="67" t="inlineStr">
        <is>
          <t>Balers</t>
        </is>
      </c>
      <c r="I12" s="67" t="inlineStr">
        <is>
          <t>Transactional</t>
        </is>
      </c>
      <c r="J12" s="67" t="n">
        <v>2024</v>
      </c>
      <c r="K12" s="67" t="inlineStr">
        <is>
          <t>/products/balers</t>
        </is>
      </c>
      <c r="L12" s="80" t="inlineStr">
        <is>
          <t>YES</t>
        </is>
      </c>
    </row>
    <row r="13" ht="15" customHeight="1" s="54">
      <c r="A13" s="67" t="n">
        <v>4</v>
      </c>
      <c r="B13" s="67" t="inlineStr">
        <is>
          <t>06-Aug-2026</t>
        </is>
      </c>
      <c r="C13" s="67" t="inlineStr">
        <is>
          <t>Thu</t>
        </is>
      </c>
      <c r="D13" s="67" t="n">
        <v>2</v>
      </c>
      <c r="E13" s="67" t="inlineStr">
        <is>
          <t>Standard</t>
        </is>
      </c>
      <c r="F13" s="67" t="inlineStr">
        <is>
          <t>Scrap baler machine: Specifications, Sizing and What to Check Before You Buy</t>
        </is>
      </c>
      <c r="G13" s="67" t="inlineStr">
        <is>
          <t>scrap baler machine</t>
        </is>
      </c>
      <c r="H13" s="67" t="inlineStr">
        <is>
          <t>Balers</t>
        </is>
      </c>
      <c r="I13" s="67" t="inlineStr">
        <is>
          <t>Transactional</t>
        </is>
      </c>
      <c r="J13" s="67" t="n">
        <v>1500</v>
      </c>
      <c r="K13" s="67" t="inlineStr">
        <is>
          <t>/products/balers</t>
        </is>
      </c>
      <c r="L13" s="80" t="n"/>
    </row>
    <row r="14" ht="15" customHeight="1" s="54">
      <c r="A14" s="63" t="n">
        <v>5</v>
      </c>
      <c r="B14" s="63" t="inlineStr">
        <is>
          <t>07-Aug-2026</t>
        </is>
      </c>
      <c r="C14" s="63" t="inlineStr">
        <is>
          <t>Fri</t>
        </is>
      </c>
      <c r="D14" s="63" t="n">
        <v>1</v>
      </c>
      <c r="E14" s="63" t="inlineStr">
        <is>
          <t>Standard</t>
        </is>
      </c>
      <c r="F14" s="63" t="inlineStr">
        <is>
          <t>Scrap Baler Machine Price: What You Are Actually Paying For</t>
        </is>
      </c>
      <c r="G14" s="63" t="inlineStr">
        <is>
          <t>scrap baler machine price</t>
        </is>
      </c>
      <c r="H14" s="63" t="inlineStr">
        <is>
          <t>Balers</t>
        </is>
      </c>
      <c r="I14" s="63" t="inlineStr">
        <is>
          <t>Transactional</t>
        </is>
      </c>
      <c r="J14" s="63" t="n">
        <v>1847</v>
      </c>
      <c r="K14" s="63" t="inlineStr">
        <is>
          <t>/products/balers</t>
        </is>
      </c>
      <c r="L14" s="94" t="inlineStr">
        <is>
          <t>YES</t>
        </is>
      </c>
    </row>
    <row r="15" ht="15" customHeight="1" s="54">
      <c r="A15" s="63" t="n">
        <v>5</v>
      </c>
      <c r="B15" s="63" t="inlineStr">
        <is>
          <t>07-Aug-2026</t>
        </is>
      </c>
      <c r="C15" s="63" t="inlineStr">
        <is>
          <t>Fri</t>
        </is>
      </c>
      <c r="D15" s="63" t="n">
        <v>2</v>
      </c>
      <c r="E15" s="63" t="inlineStr">
        <is>
          <t>Standard</t>
        </is>
      </c>
      <c r="F15" s="63" t="inlineStr">
        <is>
          <t>GST on Scrap Metal in India: The Rate, Reverse Charge and the 2% TDS Rule</t>
        </is>
      </c>
      <c r="G15" s="63" t="inlineStr">
        <is>
          <t>gst rate on scrap metal india</t>
        </is>
      </c>
      <c r="H15" s="63" t="inlineStr">
        <is>
          <t>Informational</t>
        </is>
      </c>
      <c r="I15" s="63" t="inlineStr">
        <is>
          <t>Informational</t>
        </is>
      </c>
      <c r="J15" s="63" t="n">
        <v>1837</v>
      </c>
      <c r="K15" s="63" t="inlineStr">
        <is>
          <t>/blog/scrap-gst</t>
        </is>
      </c>
      <c r="L15" s="94" t="inlineStr">
        <is>
          <t>YES</t>
        </is>
      </c>
    </row>
    <row r="16" ht="15" customHeight="1" s="54">
      <c r="A16" s="67" t="n">
        <v>6</v>
      </c>
      <c r="B16" s="67" t="inlineStr">
        <is>
          <t>08-Aug-2026</t>
        </is>
      </c>
      <c r="C16" s="67" t="inlineStr">
        <is>
          <t>Sat</t>
        </is>
      </c>
      <c r="D16" s="67" t="n">
        <v>1</v>
      </c>
      <c r="E16" s="67" t="inlineStr">
        <is>
          <t>Standard</t>
        </is>
      </c>
      <c r="F16" s="67" t="inlineStr">
        <is>
          <t>Baling Press Machine Price in India: How to Build the Budget Before You Ask for a Quote</t>
        </is>
      </c>
      <c r="G16" s="67" t="inlineStr">
        <is>
          <t>baling press machine price in india</t>
        </is>
      </c>
      <c r="H16" s="67" t="inlineStr">
        <is>
          <t>Balers</t>
        </is>
      </c>
      <c r="I16" s="67" t="inlineStr">
        <is>
          <t>Transactional</t>
        </is>
      </c>
      <c r="J16" s="67" t="n">
        <v>2032</v>
      </c>
      <c r="K16" s="67" t="inlineStr">
        <is>
          <t>/blog/baling-press-machine-price-in-india</t>
        </is>
      </c>
      <c r="L16" s="80" t="inlineStr">
        <is>
          <t>YES</t>
        </is>
      </c>
    </row>
    <row r="17" ht="15" customHeight="1" s="54">
      <c r="A17" s="67" t="n">
        <v>6</v>
      </c>
      <c r="B17" s="67" t="inlineStr">
        <is>
          <t>08-Aug-2026</t>
        </is>
      </c>
      <c r="C17" s="67" t="inlineStr">
        <is>
          <t>Sat</t>
        </is>
      </c>
      <c r="D17" s="67" t="n">
        <v>2</v>
      </c>
      <c r="E17" s="67" t="inlineStr">
        <is>
          <t>Standard</t>
        </is>
      </c>
      <c r="F17" s="67" t="inlineStr">
        <is>
          <t>Fodder Block Making Machine: Specifications, Output and the NLM Subsidy Route</t>
        </is>
      </c>
      <c r="G17" s="67" t="inlineStr">
        <is>
          <t>fodder block making machine</t>
        </is>
      </c>
      <c r="H17" s="67" t="inlineStr">
        <is>
          <t>Agriculture</t>
        </is>
      </c>
      <c r="I17" s="67" t="inlineStr">
        <is>
          <t>Transactional</t>
        </is>
      </c>
      <c r="J17" s="67" t="n">
        <v>1884</v>
      </c>
      <c r="K17" s="67" t="inlineStr">
        <is>
          <t>/blog/fodder-block-making-machine</t>
        </is>
      </c>
      <c r="L17" s="80" t="inlineStr">
        <is>
          <t>YES</t>
        </is>
      </c>
    </row>
    <row r="18" ht="15" customHeight="1" s="54">
      <c r="A18" s="95" t="n">
        <v>7</v>
      </c>
      <c r="B18" s="95" t="inlineStr">
        <is>
          <t>09-Aug-2026</t>
        </is>
      </c>
      <c r="C18" s="95" t="inlineStr">
        <is>
          <t>Sun</t>
        </is>
      </c>
      <c r="D18" s="95" t="n">
        <v>1</v>
      </c>
      <c r="E18" s="95" t="inlineStr">
        <is>
          <t>DEEP DIVE</t>
        </is>
      </c>
      <c r="F18" s="95" t="inlineStr">
        <is>
          <t>Straw baler machine price india: Specifications, Sizing and What to Check Before You Buy</t>
        </is>
      </c>
      <c r="G18" s="95" t="inlineStr">
        <is>
          <t>straw baler machine price india</t>
        </is>
      </c>
      <c r="H18" s="95" t="inlineStr">
        <is>
          <t>Agriculture</t>
        </is>
      </c>
      <c r="I18" s="95" t="inlineStr">
        <is>
          <t>Transactional</t>
        </is>
      </c>
      <c r="J18" s="95" t="n">
        <v>2500</v>
      </c>
      <c r="K18" s="95" t="inlineStr">
        <is>
          <t>/products/straw-baler</t>
        </is>
      </c>
      <c r="L18" s="80" t="n"/>
    </row>
    <row r="19" ht="15" customHeight="1" s="54">
      <c r="A19" s="67" t="n">
        <v>8</v>
      </c>
      <c r="B19" s="67" t="inlineStr">
        <is>
          <t>10-Aug-2026</t>
        </is>
      </c>
      <c r="C19" s="67" t="inlineStr">
        <is>
          <t>Mon</t>
        </is>
      </c>
      <c r="D19" s="67" t="n">
        <v>1</v>
      </c>
      <c r="E19" s="67" t="inlineStr">
        <is>
          <t>Standard</t>
        </is>
      </c>
      <c r="F19" s="67" t="inlineStr">
        <is>
          <t>Scrap bundling machine: Specifications, Sizing and What to Check Before You Buy</t>
        </is>
      </c>
      <c r="G19" s="67" t="inlineStr">
        <is>
          <t>scrap bundling machine</t>
        </is>
      </c>
      <c r="H19" s="67" t="inlineStr">
        <is>
          <t>Balers</t>
        </is>
      </c>
      <c r="I19" s="67" t="inlineStr">
        <is>
          <t>Transactional</t>
        </is>
      </c>
      <c r="J19" s="67" t="n">
        <v>1500</v>
      </c>
      <c r="K19" s="67" t="inlineStr">
        <is>
          <t>/products/balers</t>
        </is>
      </c>
      <c r="L19" s="80" t="inlineStr">
        <is>
          <t>YES</t>
        </is>
      </c>
    </row>
    <row r="20" ht="15" customHeight="1" s="54">
      <c r="A20" s="67" t="n">
        <v>8</v>
      </c>
      <c r="B20" s="67" t="inlineStr">
        <is>
          <t>10-Aug-2026</t>
        </is>
      </c>
      <c r="C20" s="67" t="inlineStr">
        <is>
          <t>Mon</t>
        </is>
      </c>
      <c r="D20" s="67" t="n">
        <v>2</v>
      </c>
      <c r="E20" s="67" t="inlineStr">
        <is>
          <t>Standard</t>
        </is>
      </c>
      <c r="F20" s="67" t="inlineStr">
        <is>
          <t>Hydraulic scrap baling press machine: Specifications, Sizing and What to Check Before You Buy</t>
        </is>
      </c>
      <c r="G20" s="67" t="inlineStr">
        <is>
          <t>hydraulic scrap baling press machine</t>
        </is>
      </c>
      <c r="H20" s="67" t="inlineStr">
        <is>
          <t>Balers</t>
        </is>
      </c>
      <c r="I20" s="67" t="inlineStr">
        <is>
          <t>Transactional</t>
        </is>
      </c>
      <c r="J20" s="67" t="n">
        <v>1500</v>
      </c>
      <c r="K20" s="67" t="inlineStr">
        <is>
          <t>/products/balers</t>
        </is>
      </c>
      <c r="L20" s="80" t="inlineStr">
        <is>
          <t>YES</t>
        </is>
      </c>
    </row>
    <row r="21" ht="15" customHeight="1" s="54">
      <c r="A21" s="63" t="n">
        <v>9</v>
      </c>
      <c r="B21" s="63" t="inlineStr">
        <is>
          <t>11-Aug-2026</t>
        </is>
      </c>
      <c r="C21" s="63" t="inlineStr">
        <is>
          <t>Tue</t>
        </is>
      </c>
      <c r="D21" s="63" t="n">
        <v>1</v>
      </c>
      <c r="E21" s="63" t="inlineStr">
        <is>
          <t>Standard</t>
        </is>
      </c>
      <c r="F21" s="63" t="inlineStr">
        <is>
          <t>How to start a vehicle scrapping business in india?</t>
        </is>
      </c>
      <c r="G21" s="63" t="inlineStr">
        <is>
          <t>how to start a vehicle scrapping business in india</t>
        </is>
      </c>
      <c r="H21" s="63" t="inlineStr">
        <is>
          <t>ELV / RVSF</t>
        </is>
      </c>
      <c r="I21" s="63" t="inlineStr">
        <is>
          <t>Commercial</t>
        </is>
      </c>
      <c r="J21" s="63" t="n">
        <v>1500</v>
      </c>
      <c r="K21" s="63" t="inlineStr">
        <is>
          <t>/blog/start-rvsf-india</t>
        </is>
      </c>
      <c r="L21" s="80" t="inlineStr">
        <is>
          <t>YES</t>
        </is>
      </c>
    </row>
    <row r="22" ht="15" customHeight="1" s="54">
      <c r="A22" s="63" t="n">
        <v>9</v>
      </c>
      <c r="B22" s="63" t="inlineStr">
        <is>
          <t>11-Aug-2026</t>
        </is>
      </c>
      <c r="C22" s="63" t="inlineStr">
        <is>
          <t>Tue</t>
        </is>
      </c>
      <c r="D22" s="63" t="n">
        <v>2</v>
      </c>
      <c r="E22" s="63" t="inlineStr">
        <is>
          <t>Standard</t>
        </is>
      </c>
      <c r="F22" s="63" t="inlineStr">
        <is>
          <t>Alligator shear machine: Specifications, Sizing and What to Check Before You Buy</t>
        </is>
      </c>
      <c r="G22" s="63" t="inlineStr">
        <is>
          <t>alligator shear machine</t>
        </is>
      </c>
      <c r="H22" s="63" t="inlineStr">
        <is>
          <t>Shears &amp; Nibblers</t>
        </is>
      </c>
      <c r="I22" s="63" t="inlineStr">
        <is>
          <t>Transactional</t>
        </is>
      </c>
      <c r="J22" s="63" t="n">
        <v>1500</v>
      </c>
      <c r="K22" s="63" t="inlineStr">
        <is>
          <t>/products/alligator-shear</t>
        </is>
      </c>
      <c r="L22" s="80" t="inlineStr">
        <is>
          <t>YES</t>
        </is>
      </c>
    </row>
    <row r="23" ht="15" customHeight="1" s="54">
      <c r="A23" s="67" t="n">
        <v>10</v>
      </c>
      <c r="B23" s="67" t="inlineStr">
        <is>
          <t>12-Aug-2026</t>
        </is>
      </c>
      <c r="C23" s="67" t="inlineStr">
        <is>
          <t>Wed</t>
        </is>
      </c>
      <c r="D23" s="67" t="n">
        <v>1</v>
      </c>
      <c r="E23" s="67" t="inlineStr">
        <is>
          <t>Standard</t>
        </is>
      </c>
      <c r="F23" s="67" t="inlineStr">
        <is>
          <t>Baler Machine Manufacturer in Alwar: How to Evaluate One Before You Buy</t>
        </is>
      </c>
      <c r="G23" s="67" t="inlineStr">
        <is>
          <t>baler machine manufacturer in alwar</t>
        </is>
      </c>
      <c r="H23" s="67" t="inlineStr">
        <is>
          <t>Local SEO</t>
        </is>
      </c>
      <c r="I23" s="67" t="inlineStr">
        <is>
          <t>Transactional</t>
        </is>
      </c>
      <c r="J23" s="67" t="n">
        <v>1991</v>
      </c>
      <c r="K23" s="67" t="inlineStr">
        <is>
          <t>/locations</t>
        </is>
      </c>
      <c r="L23" s="80" t="inlineStr">
        <is>
          <t>YES</t>
        </is>
      </c>
    </row>
    <row r="24" ht="15" customHeight="1" s="54">
      <c r="A24" s="67" t="n">
        <v>10</v>
      </c>
      <c r="B24" s="67" t="inlineStr">
        <is>
          <t>12-Aug-2026</t>
        </is>
      </c>
      <c r="C24" s="67" t="inlineStr">
        <is>
          <t>Wed</t>
        </is>
      </c>
      <c r="D24" s="67" t="n">
        <v>2</v>
      </c>
      <c r="E24" s="67" t="inlineStr">
        <is>
          <t>Standard</t>
        </is>
      </c>
      <c r="F24" s="67" t="inlineStr">
        <is>
          <t>Second Hand Baling Press Machine for Sale: What to Inspect, and When to Walk Away</t>
        </is>
      </c>
      <c r="G24" s="67" t="inlineStr">
        <is>
          <t>second hand baling press machine for sale</t>
        </is>
      </c>
      <c r="H24" s="67" t="inlineStr">
        <is>
          <t>Balers</t>
        </is>
      </c>
      <c r="I24" s="67" t="inlineStr">
        <is>
          <t>Transactional</t>
        </is>
      </c>
      <c r="J24" s="67" t="n">
        <v>2223</v>
      </c>
      <c r="K24" s="67" t="inlineStr">
        <is>
          <t>/blog/used-vs-new-baler</t>
        </is>
      </c>
      <c r="L24" s="80" t="inlineStr">
        <is>
          <t>YES</t>
        </is>
      </c>
    </row>
    <row r="25" ht="15" customHeight="1" s="54">
      <c r="A25" s="63" t="n">
        <v>11</v>
      </c>
      <c r="B25" s="63" t="inlineStr">
        <is>
          <t>13-Aug-2026</t>
        </is>
      </c>
      <c r="C25" s="63" t="inlineStr">
        <is>
          <t>Thu</t>
        </is>
      </c>
      <c r="D25" s="63" t="n">
        <v>1</v>
      </c>
      <c r="E25" s="63" t="inlineStr">
        <is>
          <t>Standard</t>
        </is>
      </c>
      <c r="F25" s="63" t="inlineStr">
        <is>
          <t>Baling Press Spare Parts: What Wears Out, When, and What to Keep on the Shelf</t>
        </is>
      </c>
      <c r="G25" s="63" t="inlineStr">
        <is>
          <t>baling press spare parts</t>
        </is>
      </c>
      <c r="H25" s="63" t="inlineStr">
        <is>
          <t>Service &amp; Spares</t>
        </is>
      </c>
      <c r="I25" s="63" t="inlineStr">
        <is>
          <t>Transactional</t>
        </is>
      </c>
      <c r="J25" s="63" t="n">
        <v>2459</v>
      </c>
      <c r="K25" s="63" t="inlineStr">
        <is>
          <t>/spares</t>
        </is>
      </c>
      <c r="L25" s="80" t="inlineStr">
        <is>
          <t>YES</t>
        </is>
      </c>
    </row>
    <row r="26" ht="15" customHeight="1" s="54">
      <c r="A26" s="63" t="n">
        <v>11</v>
      </c>
      <c r="B26" s="63" t="inlineStr">
        <is>
          <t>13-Aug-2026</t>
        </is>
      </c>
      <c r="C26" s="63" t="inlineStr">
        <is>
          <t>Thu</t>
        </is>
      </c>
      <c r="D26" s="63" t="n">
        <v>2</v>
      </c>
      <c r="E26" s="63" t="inlineStr">
        <is>
          <t>Standard</t>
        </is>
      </c>
      <c r="F26" s="63" t="inlineStr">
        <is>
          <t>Scrap Baling Press Machine in Alwar: Sizing One for the Alwar–Bhiwadi Scrap Mix</t>
        </is>
      </c>
      <c r="G26" s="63" t="inlineStr">
        <is>
          <t>scrap baling press machine in alwar</t>
        </is>
      </c>
      <c r="H26" s="63" t="inlineStr">
        <is>
          <t>Local SEO</t>
        </is>
      </c>
      <c r="I26" s="63" t="inlineStr">
        <is>
          <t>Transactional</t>
        </is>
      </c>
      <c r="J26" s="63" t="n">
        <v>2539</v>
      </c>
      <c r="K26" s="63" t="inlineStr">
        <is>
          <t>/locations</t>
        </is>
      </c>
      <c r="L26" s="80" t="inlineStr">
        <is>
          <t>YES</t>
        </is>
      </c>
    </row>
    <row r="27" ht="15" customHeight="1" s="54">
      <c r="A27" s="67" t="n">
        <v>12</v>
      </c>
      <c r="B27" s="67" t="inlineStr">
        <is>
          <t>14-Aug-2026</t>
        </is>
      </c>
      <c r="C27" s="67" t="inlineStr">
        <is>
          <t>Fri</t>
        </is>
      </c>
      <c r="D27" s="67" t="n">
        <v>1</v>
      </c>
      <c r="E27" s="67" t="inlineStr">
        <is>
          <t>Standard</t>
        </is>
      </c>
      <c r="F27" s="67" t="inlineStr">
        <is>
          <t>Pet bottle baling machine: Specifications, Sizing and What to Check Before You Buy</t>
        </is>
      </c>
      <c r="G27" s="67" t="inlineStr">
        <is>
          <t>pet bottle baling machine</t>
        </is>
      </c>
      <c r="H27" s="67" t="inlineStr">
        <is>
          <t>Balers</t>
        </is>
      </c>
      <c r="I27" s="67" t="inlineStr">
        <is>
          <t>Transactional</t>
        </is>
      </c>
      <c r="J27" s="67" t="n">
        <v>1500</v>
      </c>
      <c r="K27" s="67" t="inlineStr">
        <is>
          <t>/products/automatic-horizontal-baler</t>
        </is>
      </c>
      <c r="L27" s="80" t="n"/>
    </row>
    <row r="28" ht="15" customHeight="1" s="54">
      <c r="A28" s="67" t="n">
        <v>12</v>
      </c>
      <c r="B28" s="67" t="inlineStr">
        <is>
          <t>14-Aug-2026</t>
        </is>
      </c>
      <c r="C28" s="67" t="inlineStr">
        <is>
          <t>Fri</t>
        </is>
      </c>
      <c r="D28" s="67" t="n">
        <v>2</v>
      </c>
      <c r="E28" s="67" t="inlineStr">
        <is>
          <t>Standard</t>
        </is>
      </c>
      <c r="F28" s="67" t="inlineStr">
        <is>
          <t>Scrap baling press machine in mandi gobindgarh: Specifications, Sizing and What to Check Before You Buy</t>
        </is>
      </c>
      <c r="G28" s="67" t="inlineStr">
        <is>
          <t>scrap baling press machine in mandi gobindgarh</t>
        </is>
      </c>
      <c r="H28" s="67" t="inlineStr">
        <is>
          <t>Local SEO</t>
        </is>
      </c>
      <c r="I28" s="67" t="inlineStr">
        <is>
          <t>Transactional</t>
        </is>
      </c>
      <c r="J28" s="67" t="n">
        <v>1500</v>
      </c>
      <c r="K28" s="67" t="inlineStr">
        <is>
          <t>/locations</t>
        </is>
      </c>
      <c r="L28" s="80" t="n"/>
    </row>
    <row r="29" ht="15" customHeight="1" s="54">
      <c r="A29" s="63" t="n">
        <v>13</v>
      </c>
      <c r="B29" s="63" t="inlineStr">
        <is>
          <t>15-Aug-2026</t>
        </is>
      </c>
      <c r="C29" s="63" t="inlineStr">
        <is>
          <t>Sat</t>
        </is>
      </c>
      <c r="D29" s="63" t="n">
        <v>1</v>
      </c>
      <c r="E29" s="63" t="inlineStr">
        <is>
          <t>Standard</t>
        </is>
      </c>
      <c r="F29" s="63" t="inlineStr">
        <is>
          <t>Silage baler machine india: Specifications, Sizing and What to Check Before You Buy</t>
        </is>
      </c>
      <c r="G29" s="63" t="inlineStr">
        <is>
          <t>silage baler machine india</t>
        </is>
      </c>
      <c r="H29" s="63" t="inlineStr">
        <is>
          <t>Agriculture</t>
        </is>
      </c>
      <c r="I29" s="63" t="inlineStr">
        <is>
          <t>Transactional</t>
        </is>
      </c>
      <c r="J29" s="63" t="n">
        <v>1500</v>
      </c>
      <c r="K29" s="63" t="inlineStr">
        <is>
          <t>/products/straw-baler</t>
        </is>
      </c>
      <c r="L29" s="80" t="n"/>
    </row>
    <row r="30" ht="15" customHeight="1" s="54">
      <c r="A30" s="63" t="n">
        <v>13</v>
      </c>
      <c r="B30" s="63" t="inlineStr">
        <is>
          <t>15-Aug-2026</t>
        </is>
      </c>
      <c r="C30" s="63" t="inlineStr">
        <is>
          <t>Sat</t>
        </is>
      </c>
      <c r="D30" s="63" t="n">
        <v>2</v>
      </c>
      <c r="E30" s="63" t="inlineStr">
        <is>
          <t>Standard</t>
        </is>
      </c>
      <c r="F30" s="63" t="inlineStr">
        <is>
          <t>Scrap baling press machine in bhiwadi: Specifications, Sizing and What to Check Before You Buy</t>
        </is>
      </c>
      <c r="G30" s="63" t="inlineStr">
        <is>
          <t>scrap baling press machine in bhiwadi</t>
        </is>
      </c>
      <c r="H30" s="63" t="inlineStr">
        <is>
          <t>Local SEO</t>
        </is>
      </c>
      <c r="I30" s="63" t="inlineStr">
        <is>
          <t>Transactional</t>
        </is>
      </c>
      <c r="J30" s="63" t="n">
        <v>1500</v>
      </c>
      <c r="K30" s="63" t="inlineStr">
        <is>
          <t>/locations</t>
        </is>
      </c>
      <c r="L30" s="80" t="n"/>
    </row>
    <row r="31" ht="15" customHeight="1" s="54">
      <c r="A31" s="95" t="n">
        <v>14</v>
      </c>
      <c r="B31" s="95" t="inlineStr">
        <is>
          <t>16-Aug-2026</t>
        </is>
      </c>
      <c r="C31" s="95" t="inlineStr">
        <is>
          <t>Sun</t>
        </is>
      </c>
      <c r="D31" s="95" t="n">
        <v>1</v>
      </c>
      <c r="E31" s="95" t="inlineStr">
        <is>
          <t>DEEP DIVE</t>
        </is>
      </c>
      <c r="F31" s="95" t="inlineStr">
        <is>
          <t>Scrap baling press machine in jaipur: Specifications, Sizing and What to Check Before You Buy</t>
        </is>
      </c>
      <c r="G31" s="95" t="inlineStr">
        <is>
          <t>scrap baling press machine in jaipur</t>
        </is>
      </c>
      <c r="H31" s="95" t="inlineStr">
        <is>
          <t>Local SEO</t>
        </is>
      </c>
      <c r="I31" s="95" t="inlineStr">
        <is>
          <t>Transactional</t>
        </is>
      </c>
      <c r="J31" s="95" t="n">
        <v>2500</v>
      </c>
      <c r="K31" s="95" t="inlineStr">
        <is>
          <t>/locations</t>
        </is>
      </c>
      <c r="L31" s="80" t="n"/>
    </row>
    <row r="32" ht="15" customHeight="1" s="54">
      <c r="A32" s="63" t="n">
        <v>15</v>
      </c>
      <c r="B32" s="63" t="inlineStr">
        <is>
          <t>17-Aug-2026</t>
        </is>
      </c>
      <c r="C32" s="63" t="inlineStr">
        <is>
          <t>Mon</t>
        </is>
      </c>
      <c r="D32" s="63" t="n">
        <v>1</v>
      </c>
      <c r="E32" s="63" t="inlineStr">
        <is>
          <t>Standard</t>
        </is>
      </c>
      <c r="F32" s="63" t="inlineStr">
        <is>
          <t>Baler machine manufacturer in mandi gobindgarh: Specifications, Sizing and What to Check Before You Buy</t>
        </is>
      </c>
      <c r="G32" s="63" t="inlineStr">
        <is>
          <t>baler machine manufacturer in mandi gobindgarh</t>
        </is>
      </c>
      <c r="H32" s="63" t="inlineStr">
        <is>
          <t>Local SEO</t>
        </is>
      </c>
      <c r="I32" s="63" t="inlineStr">
        <is>
          <t>Transactional</t>
        </is>
      </c>
      <c r="J32" s="63" t="n">
        <v>1500</v>
      </c>
      <c r="K32" s="63" t="inlineStr">
        <is>
          <t>/locations</t>
        </is>
      </c>
      <c r="L32" s="80" t="n"/>
    </row>
    <row r="33" ht="15" customHeight="1" s="54">
      <c r="A33" s="63" t="n">
        <v>15</v>
      </c>
      <c r="B33" s="63" t="inlineStr">
        <is>
          <t>17-Aug-2026</t>
        </is>
      </c>
      <c r="C33" s="63" t="inlineStr">
        <is>
          <t>Mon</t>
        </is>
      </c>
      <c r="D33" s="63" t="n">
        <v>2</v>
      </c>
      <c r="E33" s="63" t="inlineStr">
        <is>
          <t>Standard</t>
        </is>
      </c>
      <c r="F33" s="63" t="inlineStr">
        <is>
          <t>Metal shredder machine: Specifications, Sizing and What to Check Before You Buy</t>
        </is>
      </c>
      <c r="G33" s="63" t="inlineStr">
        <is>
          <t>metal shredder machine</t>
        </is>
      </c>
      <c r="H33" s="63" t="inlineStr">
        <is>
          <t>Shredders &amp; Crackers</t>
        </is>
      </c>
      <c r="I33" s="63" t="inlineStr">
        <is>
          <t>Transactional</t>
        </is>
      </c>
      <c r="J33" s="63" t="n">
        <v>1500</v>
      </c>
      <c r="K33" s="63" t="inlineStr">
        <is>
          <t>/products/shredders</t>
        </is>
      </c>
      <c r="L33" s="80" t="n"/>
    </row>
    <row r="34" ht="15" customHeight="1" s="54">
      <c r="A34" s="67" t="n">
        <v>16</v>
      </c>
      <c r="B34" s="67" t="inlineStr">
        <is>
          <t>18-Aug-2026</t>
        </is>
      </c>
      <c r="C34" s="67" t="inlineStr">
        <is>
          <t>Tue</t>
        </is>
      </c>
      <c r="D34" s="67" t="n">
        <v>1</v>
      </c>
      <c r="E34" s="67" t="inlineStr">
        <is>
          <t>Standard</t>
        </is>
      </c>
      <c r="F34" s="67" t="inlineStr">
        <is>
          <t>Baler machine manufacturer in jaipur: Specifications, Sizing and What to Check Before You Buy</t>
        </is>
      </c>
      <c r="G34" s="67" t="inlineStr">
        <is>
          <t>baler machine manufacturer in jaipur</t>
        </is>
      </c>
      <c r="H34" s="67" t="inlineStr">
        <is>
          <t>Local SEO</t>
        </is>
      </c>
      <c r="I34" s="67" t="inlineStr">
        <is>
          <t>Transactional</t>
        </is>
      </c>
      <c r="J34" s="67" t="n">
        <v>1500</v>
      </c>
      <c r="K34" s="67" t="inlineStr">
        <is>
          <t>/locations</t>
        </is>
      </c>
      <c r="L34" s="80" t="n"/>
    </row>
    <row r="35" ht="15" customHeight="1" s="54">
      <c r="A35" s="67" t="n">
        <v>16</v>
      </c>
      <c r="B35" s="67" t="inlineStr">
        <is>
          <t>18-Aug-2026</t>
        </is>
      </c>
      <c r="C35" s="67" t="inlineStr">
        <is>
          <t>Tue</t>
        </is>
      </c>
      <c r="D35" s="67" t="n">
        <v>2</v>
      </c>
      <c r="E35" s="67" t="inlineStr">
        <is>
          <t>Standard</t>
        </is>
      </c>
      <c r="F35" s="67" t="inlineStr">
        <is>
          <t>Baling press amc service india: Specifications, Sizing and What to Check Before You Buy</t>
        </is>
      </c>
      <c r="G35" s="67" t="inlineStr">
        <is>
          <t>baling press amc service india</t>
        </is>
      </c>
      <c r="H35" s="67" t="inlineStr">
        <is>
          <t>Service &amp; Spares</t>
        </is>
      </c>
      <c r="I35" s="67" t="inlineStr">
        <is>
          <t>Transactional</t>
        </is>
      </c>
      <c r="J35" s="67" t="n">
        <v>1500</v>
      </c>
      <c r="K35" s="67" t="inlineStr">
        <is>
          <t>/service</t>
        </is>
      </c>
      <c r="L35" s="80" t="n"/>
    </row>
    <row r="36" ht="15" customHeight="1" s="54">
      <c r="A36" s="63" t="n">
        <v>17</v>
      </c>
      <c r="B36" s="63" t="inlineStr">
        <is>
          <t>19-Aug-2026</t>
        </is>
      </c>
      <c r="C36" s="63" t="inlineStr">
        <is>
          <t>Wed</t>
        </is>
      </c>
      <c r="D36" s="63" t="n">
        <v>1</v>
      </c>
      <c r="E36" s="63" t="inlineStr">
        <is>
          <t>Standard</t>
        </is>
      </c>
      <c r="F36" s="63" t="inlineStr">
        <is>
          <t>Triple action baling press: Specifications, Sizing and What to Check Before You Buy</t>
        </is>
      </c>
      <c r="G36" s="63" t="inlineStr">
        <is>
          <t>triple action baling press</t>
        </is>
      </c>
      <c r="H36" s="63" t="inlineStr">
        <is>
          <t>Balers</t>
        </is>
      </c>
      <c r="I36" s="63" t="inlineStr">
        <is>
          <t>Transactional</t>
        </is>
      </c>
      <c r="J36" s="63" t="n">
        <v>1500</v>
      </c>
      <c r="K36" s="63" t="inlineStr">
        <is>
          <t>/products/triple-action-baler</t>
        </is>
      </c>
      <c r="L36" s="80" t="n"/>
    </row>
    <row r="37" ht="15" customHeight="1" s="54">
      <c r="A37" s="63" t="n">
        <v>17</v>
      </c>
      <c r="B37" s="63" t="inlineStr">
        <is>
          <t>19-Aug-2026</t>
        </is>
      </c>
      <c r="C37" s="63" t="inlineStr">
        <is>
          <t>Wed</t>
        </is>
      </c>
      <c r="D37" s="63" t="n">
        <v>2</v>
      </c>
      <c r="E37" s="63" t="inlineStr">
        <is>
          <t>Standard</t>
        </is>
      </c>
      <c r="F37" s="63" t="inlineStr">
        <is>
          <t>Hydraulic cylinder for baling press: Specifications, Sizing and What to Check Before You Buy</t>
        </is>
      </c>
      <c r="G37" s="63" t="inlineStr">
        <is>
          <t>hydraulic cylinder for baling press</t>
        </is>
      </c>
      <c r="H37" s="63" t="inlineStr">
        <is>
          <t>Service &amp; Spares</t>
        </is>
      </c>
      <c r="I37" s="63" t="inlineStr">
        <is>
          <t>Transactional</t>
        </is>
      </c>
      <c r="J37" s="63" t="n">
        <v>1500</v>
      </c>
      <c r="K37" s="63" t="inlineStr">
        <is>
          <t>/spares</t>
        </is>
      </c>
      <c r="L37" s="80" t="n"/>
    </row>
    <row r="38" ht="15" customHeight="1" s="54">
      <c r="A38" s="67" t="n">
        <v>18</v>
      </c>
      <c r="B38" s="67" t="inlineStr">
        <is>
          <t>20-Aug-2026</t>
        </is>
      </c>
      <c r="C38" s="67" t="inlineStr">
        <is>
          <t>Thu</t>
        </is>
      </c>
      <c r="D38" s="67" t="n">
        <v>1</v>
      </c>
      <c r="E38" s="67" t="inlineStr">
        <is>
          <t>Standard</t>
        </is>
      </c>
      <c r="F38" s="67" t="inlineStr">
        <is>
          <t>Plastic baling machine: Specifications, Sizing and What to Check Before You Buy</t>
        </is>
      </c>
      <c r="G38" s="67" t="inlineStr">
        <is>
          <t>plastic baling machine</t>
        </is>
      </c>
      <c r="H38" s="67" t="inlineStr">
        <is>
          <t>Balers</t>
        </is>
      </c>
      <c r="I38" s="67" t="inlineStr">
        <is>
          <t>Transactional</t>
        </is>
      </c>
      <c r="J38" s="67" t="n">
        <v>1500</v>
      </c>
      <c r="K38" s="67" t="inlineStr">
        <is>
          <t>/products/automatic-horizontal-baler</t>
        </is>
      </c>
      <c r="L38" s="80" t="n"/>
    </row>
    <row r="39" ht="15" customHeight="1" s="54">
      <c r="A39" s="67" t="n">
        <v>18</v>
      </c>
      <c r="B39" s="67" t="inlineStr">
        <is>
          <t>20-Aug-2026</t>
        </is>
      </c>
      <c r="C39" s="67" t="inlineStr">
        <is>
          <t>Thu</t>
        </is>
      </c>
      <c r="D39" s="67" t="n">
        <v>2</v>
      </c>
      <c r="E39" s="67" t="inlineStr">
        <is>
          <t>Standard</t>
        </is>
      </c>
      <c r="F39" s="67" t="inlineStr">
        <is>
          <t>Mini triple action baler: Specifications, Sizing and What to Check Before You Buy</t>
        </is>
      </c>
      <c r="G39" s="67" t="inlineStr">
        <is>
          <t>mini triple action baler</t>
        </is>
      </c>
      <c r="H39" s="67" t="inlineStr">
        <is>
          <t>Balers</t>
        </is>
      </c>
      <c r="I39" s="67" t="inlineStr">
        <is>
          <t>Transactional</t>
        </is>
      </c>
      <c r="J39" s="67" t="n">
        <v>1500</v>
      </c>
      <c r="K39" s="67" t="inlineStr">
        <is>
          <t>/products/mini-triple-action-baler</t>
        </is>
      </c>
      <c r="L39" s="80" t="n"/>
    </row>
    <row r="40" ht="15" customHeight="1" s="54">
      <c r="A40" s="63" t="n">
        <v>19</v>
      </c>
      <c r="B40" s="63" t="inlineStr">
        <is>
          <t>21-Aug-2026</t>
        </is>
      </c>
      <c r="C40" s="63" t="inlineStr">
        <is>
          <t>Fri</t>
        </is>
      </c>
      <c r="D40" s="63" t="n">
        <v>1</v>
      </c>
      <c r="E40" s="63" t="inlineStr">
        <is>
          <t>Standard</t>
        </is>
      </c>
      <c r="F40" s="63" t="inlineStr">
        <is>
          <t>Waste paper baling press machine: Specifications, Sizing and What to Check Before You Buy</t>
        </is>
      </c>
      <c r="G40" s="63" t="inlineStr">
        <is>
          <t>waste paper baling press machine</t>
        </is>
      </c>
      <c r="H40" s="63" t="inlineStr">
        <is>
          <t>Balers</t>
        </is>
      </c>
      <c r="I40" s="63" t="inlineStr">
        <is>
          <t>Transactional</t>
        </is>
      </c>
      <c r="J40" s="63" t="n">
        <v>1500</v>
      </c>
      <c r="K40" s="63" t="inlineStr">
        <is>
          <t>/products/automatic-horizontal-baler</t>
        </is>
      </c>
      <c r="L40" s="80" t="n"/>
    </row>
    <row r="41" ht="15" customHeight="1" s="54">
      <c r="A41" s="63" t="n">
        <v>19</v>
      </c>
      <c r="B41" s="63" t="inlineStr">
        <is>
          <t>21-Aug-2026</t>
        </is>
      </c>
      <c r="C41" s="63" t="inlineStr">
        <is>
          <t>Fri</t>
        </is>
      </c>
      <c r="D41" s="63" t="n">
        <v>2</v>
      </c>
      <c r="E41" s="63" t="inlineStr">
        <is>
          <t>Standard</t>
        </is>
      </c>
      <c r="F41" s="63" t="inlineStr">
        <is>
          <t>Bundle press machine: Specifications, Sizing and What to Check Before You Buy</t>
        </is>
      </c>
      <c r="G41" s="63" t="inlineStr">
        <is>
          <t>bundle press machine</t>
        </is>
      </c>
      <c r="H41" s="63" t="inlineStr">
        <is>
          <t>Balers</t>
        </is>
      </c>
      <c r="I41" s="63" t="inlineStr">
        <is>
          <t>Transactional</t>
        </is>
      </c>
      <c r="J41" s="63" t="n">
        <v>1500</v>
      </c>
      <c r="K41" s="63" t="inlineStr">
        <is>
          <t>/products/balers</t>
        </is>
      </c>
      <c r="L41" s="80" t="n"/>
    </row>
    <row r="42" ht="15" customHeight="1" s="54">
      <c r="A42" s="67" t="n">
        <v>20</v>
      </c>
      <c r="B42" s="67" t="inlineStr">
        <is>
          <t>22-Aug-2026</t>
        </is>
      </c>
      <c r="C42" s="67" t="inlineStr">
        <is>
          <t>Sat</t>
        </is>
      </c>
      <c r="D42" s="67" t="n">
        <v>1</v>
      </c>
      <c r="E42" s="67" t="inlineStr">
        <is>
          <t>Standard</t>
        </is>
      </c>
      <c r="F42" s="67" t="inlineStr">
        <is>
          <t>Scrap baling press machine in jamshedpur: Specifications, Sizing and What to Check Before You Buy</t>
        </is>
      </c>
      <c r="G42" s="67" t="inlineStr">
        <is>
          <t>scrap baling press machine in jamshedpur</t>
        </is>
      </c>
      <c r="H42" s="67" t="inlineStr">
        <is>
          <t>Local SEO</t>
        </is>
      </c>
      <c r="I42" s="67" t="inlineStr">
        <is>
          <t>Transactional</t>
        </is>
      </c>
      <c r="J42" s="67" t="n">
        <v>1500</v>
      </c>
      <c r="K42" s="67" t="inlineStr">
        <is>
          <t>/locations</t>
        </is>
      </c>
      <c r="L42" s="80" t="n"/>
    </row>
    <row r="43" ht="15" customHeight="1" s="54">
      <c r="A43" s="67" t="n">
        <v>20</v>
      </c>
      <c r="B43" s="67" t="inlineStr">
        <is>
          <t>22-Aug-2026</t>
        </is>
      </c>
      <c r="C43" s="67" t="inlineStr">
        <is>
          <t>Sat</t>
        </is>
      </c>
      <c r="D43" s="67" t="n">
        <v>2</v>
      </c>
      <c r="E43" s="67" t="inlineStr">
        <is>
          <t>Standard</t>
        </is>
      </c>
      <c r="F43" s="67" t="inlineStr">
        <is>
          <t>Scrap baling press machine in raipur: Specifications, Sizing and What to Check Before You Buy</t>
        </is>
      </c>
      <c r="G43" s="67" t="inlineStr">
        <is>
          <t>scrap baling press machine in raipur</t>
        </is>
      </c>
      <c r="H43" s="67" t="inlineStr">
        <is>
          <t>Local SEO</t>
        </is>
      </c>
      <c r="I43" s="67" t="inlineStr">
        <is>
          <t>Transactional</t>
        </is>
      </c>
      <c r="J43" s="67" t="n">
        <v>1500</v>
      </c>
      <c r="K43" s="67" t="inlineStr">
        <is>
          <t>/locations</t>
        </is>
      </c>
      <c r="L43" s="80" t="n"/>
    </row>
    <row r="44" ht="15" customHeight="1" s="54">
      <c r="A44" s="95" t="n">
        <v>21</v>
      </c>
      <c r="B44" s="95" t="inlineStr">
        <is>
          <t>23-Aug-2026</t>
        </is>
      </c>
      <c r="C44" s="95" t="inlineStr">
        <is>
          <t>Sun</t>
        </is>
      </c>
      <c r="D44" s="95" t="n">
        <v>1</v>
      </c>
      <c r="E44" s="95" t="inlineStr">
        <is>
          <t>DEEP DIVE</t>
        </is>
      </c>
      <c r="F44" s="95" t="inlineStr">
        <is>
          <t>Scrap baling press machine in kanpur: Specifications, Sizing and What to Check Before You Buy</t>
        </is>
      </c>
      <c r="G44" s="95" t="inlineStr">
        <is>
          <t>scrap baling press machine in kanpur</t>
        </is>
      </c>
      <c r="H44" s="95" t="inlineStr">
        <is>
          <t>Local SEO</t>
        </is>
      </c>
      <c r="I44" s="95" t="inlineStr">
        <is>
          <t>Transactional</t>
        </is>
      </c>
      <c r="J44" s="95" t="n">
        <v>2500</v>
      </c>
      <c r="K44" s="95" t="inlineStr">
        <is>
          <t>/locations</t>
        </is>
      </c>
      <c r="L44" s="80" t="n"/>
    </row>
    <row r="45" ht="15" customHeight="1" s="54">
      <c r="A45" s="67" t="n">
        <v>22</v>
      </c>
      <c r="B45" s="67" t="inlineStr">
        <is>
          <t>24-Aug-2026</t>
        </is>
      </c>
      <c r="C45" s="67" t="inlineStr">
        <is>
          <t>Mon</t>
        </is>
      </c>
      <c r="D45" s="67" t="n">
        <v>1</v>
      </c>
      <c r="E45" s="67" t="inlineStr">
        <is>
          <t>Standard</t>
        </is>
      </c>
      <c r="F45" s="67" t="inlineStr">
        <is>
          <t>Scrap baling press machine in rajkot: Specifications, Sizing and What to Check Before You Buy</t>
        </is>
      </c>
      <c r="G45" s="67" t="inlineStr">
        <is>
          <t>scrap baling press machine in rajkot</t>
        </is>
      </c>
      <c r="H45" s="67" t="inlineStr">
        <is>
          <t>Local SEO</t>
        </is>
      </c>
      <c r="I45" s="67" t="inlineStr">
        <is>
          <t>Transactional</t>
        </is>
      </c>
      <c r="J45" s="67" t="n">
        <v>1500</v>
      </c>
      <c r="K45" s="67" t="inlineStr">
        <is>
          <t>/locations</t>
        </is>
      </c>
      <c r="L45" s="80" t="n"/>
    </row>
    <row r="46" ht="15" customHeight="1" s="54">
      <c r="A46" s="67" t="n">
        <v>22</v>
      </c>
      <c r="B46" s="67" t="inlineStr">
        <is>
          <t>24-Aug-2026</t>
        </is>
      </c>
      <c r="C46" s="67" t="inlineStr">
        <is>
          <t>Mon</t>
        </is>
      </c>
      <c r="D46" s="67" t="n">
        <v>2</v>
      </c>
      <c r="E46" s="67" t="inlineStr">
        <is>
          <t>Standard</t>
        </is>
      </c>
      <c r="F46" s="67" t="inlineStr">
        <is>
          <t>Scrap baling press machine in ludhiana: Specifications, Sizing and What to Check Before You Buy</t>
        </is>
      </c>
      <c r="G46" s="67" t="inlineStr">
        <is>
          <t>scrap baling press machine in ludhiana</t>
        </is>
      </c>
      <c r="H46" s="67" t="inlineStr">
        <is>
          <t>Local SEO</t>
        </is>
      </c>
      <c r="I46" s="67" t="inlineStr">
        <is>
          <t>Transactional</t>
        </is>
      </c>
      <c r="J46" s="67" t="n">
        <v>1500</v>
      </c>
      <c r="K46" s="67" t="inlineStr">
        <is>
          <t>/locations</t>
        </is>
      </c>
      <c r="L46" s="80" t="n"/>
    </row>
    <row r="47" ht="15" customHeight="1" s="54">
      <c r="A47" s="63" t="n">
        <v>23</v>
      </c>
      <c r="B47" s="63" t="inlineStr">
        <is>
          <t>25-Aug-2026</t>
        </is>
      </c>
      <c r="C47" s="63" t="inlineStr">
        <is>
          <t>Tue</t>
        </is>
      </c>
      <c r="D47" s="63" t="n">
        <v>1</v>
      </c>
      <c r="E47" s="63" t="inlineStr">
        <is>
          <t>Standard</t>
        </is>
      </c>
      <c r="F47" s="63" t="inlineStr">
        <is>
          <t>Hydraulic baling press cost: Specifications, Sizing and What to Check Before You Buy</t>
        </is>
      </c>
      <c r="G47" s="63" t="inlineStr">
        <is>
          <t>hydraulic baling press cost</t>
        </is>
      </c>
      <c r="H47" s="63" t="inlineStr">
        <is>
          <t>Balers</t>
        </is>
      </c>
      <c r="I47" s="63" t="inlineStr">
        <is>
          <t>Transactional</t>
        </is>
      </c>
      <c r="J47" s="63" t="n">
        <v>1500</v>
      </c>
      <c r="K47" s="63" t="inlineStr">
        <is>
          <t>/products/balers</t>
        </is>
      </c>
      <c r="L47" s="80" t="n"/>
    </row>
    <row r="48" ht="15" customHeight="1" s="54">
      <c r="A48" s="63" t="n">
        <v>23</v>
      </c>
      <c r="B48" s="63" t="inlineStr">
        <is>
          <t>25-Aug-2026</t>
        </is>
      </c>
      <c r="C48" s="63" t="inlineStr">
        <is>
          <t>Tue</t>
        </is>
      </c>
      <c r="D48" s="63" t="n">
        <v>2</v>
      </c>
      <c r="E48" s="63" t="inlineStr">
        <is>
          <t>Standard</t>
        </is>
      </c>
      <c r="F48" s="63" t="inlineStr">
        <is>
          <t>Top ejection baling press: Specifications, Sizing and What to Check Before You Buy</t>
        </is>
      </c>
      <c r="G48" s="63" t="inlineStr">
        <is>
          <t>top ejection baling press</t>
        </is>
      </c>
      <c r="H48" s="63" t="inlineStr">
        <is>
          <t>Balers</t>
        </is>
      </c>
      <c r="I48" s="63" t="inlineStr">
        <is>
          <t>Transactional</t>
        </is>
      </c>
      <c r="J48" s="63" t="n">
        <v>1500</v>
      </c>
      <c r="K48" s="63" t="inlineStr">
        <is>
          <t>/products/double-action-baler-top-ejection</t>
        </is>
      </c>
      <c r="L48" s="80" t="n"/>
    </row>
    <row r="49" ht="15" customHeight="1" s="54">
      <c r="A49" s="67" t="n">
        <v>24</v>
      </c>
      <c r="B49" s="67" t="inlineStr">
        <is>
          <t>26-Aug-2026</t>
        </is>
      </c>
      <c r="C49" s="67" t="inlineStr">
        <is>
          <t>Wed</t>
        </is>
      </c>
      <c r="D49" s="67" t="n">
        <v>1</v>
      </c>
      <c r="E49" s="67" t="inlineStr">
        <is>
          <t>Standard</t>
        </is>
      </c>
      <c r="F49" s="67" t="inlineStr">
        <is>
          <t>Double action baling press: Specifications, Sizing and What to Check Before You Buy</t>
        </is>
      </c>
      <c r="G49" s="67" t="inlineStr">
        <is>
          <t>double action baling press</t>
        </is>
      </c>
      <c r="H49" s="67" t="inlineStr">
        <is>
          <t>Balers</t>
        </is>
      </c>
      <c r="I49" s="67" t="inlineStr">
        <is>
          <t>Transactional</t>
        </is>
      </c>
      <c r="J49" s="67" t="n">
        <v>1500</v>
      </c>
      <c r="K49" s="67" t="inlineStr">
        <is>
          <t>/products/double-action-baler</t>
        </is>
      </c>
      <c r="L49" s="80" t="n"/>
    </row>
    <row r="50" ht="15" customHeight="1" s="54">
      <c r="A50" s="67" t="n">
        <v>24</v>
      </c>
      <c r="B50" s="67" t="inlineStr">
        <is>
          <t>26-Aug-2026</t>
        </is>
      </c>
      <c r="C50" s="67" t="inlineStr">
        <is>
          <t>Wed</t>
        </is>
      </c>
      <c r="D50" s="67" t="n">
        <v>2</v>
      </c>
      <c r="E50" s="67" t="inlineStr">
        <is>
          <t>Standard</t>
        </is>
      </c>
      <c r="F50" s="67" t="inlineStr">
        <is>
          <t>Double action baler manual door: Specifications, Sizing and What to Check Before You Buy</t>
        </is>
      </c>
      <c r="G50" s="67" t="inlineStr">
        <is>
          <t>double action baler manual door</t>
        </is>
      </c>
      <c r="H50" s="67" t="inlineStr">
        <is>
          <t>Balers</t>
        </is>
      </c>
      <c r="I50" s="67" t="inlineStr">
        <is>
          <t>Transactional</t>
        </is>
      </c>
      <c r="J50" s="67" t="n">
        <v>1500</v>
      </c>
      <c r="K50" s="67" t="inlineStr">
        <is>
          <t>/products/double-action-baler-manual-door</t>
        </is>
      </c>
      <c r="L50" s="80" t="n"/>
    </row>
    <row r="51" ht="15" customHeight="1" s="54">
      <c r="A51" s="63" t="n">
        <v>25</v>
      </c>
      <c r="B51" s="63" t="inlineStr">
        <is>
          <t>27-Aug-2026</t>
        </is>
      </c>
      <c r="C51" s="63" t="inlineStr">
        <is>
          <t>Thu</t>
        </is>
      </c>
      <c r="D51" s="63" t="n">
        <v>1</v>
      </c>
      <c r="E51" s="63" t="inlineStr">
        <is>
          <t>Standard</t>
        </is>
      </c>
      <c r="F51" s="63" t="inlineStr">
        <is>
          <t>Baler machine manufacturer in ludhiana: Specifications, Sizing and What to Check Before You Buy</t>
        </is>
      </c>
      <c r="G51" s="63" t="inlineStr">
        <is>
          <t>baler machine manufacturer in ludhiana</t>
        </is>
      </c>
      <c r="H51" s="63" t="inlineStr">
        <is>
          <t>Local SEO</t>
        </is>
      </c>
      <c r="I51" s="63" t="inlineStr">
        <is>
          <t>Transactional</t>
        </is>
      </c>
      <c r="J51" s="63" t="n">
        <v>1500</v>
      </c>
      <c r="K51" s="63" t="inlineStr">
        <is>
          <t>/locations</t>
        </is>
      </c>
      <c r="L51" s="80" t="n"/>
    </row>
    <row r="52" ht="15" customHeight="1" s="54">
      <c r="A52" s="63" t="n">
        <v>25</v>
      </c>
      <c r="B52" s="63" t="inlineStr">
        <is>
          <t>27-Aug-2026</t>
        </is>
      </c>
      <c r="C52" s="63" t="inlineStr">
        <is>
          <t>Thu</t>
        </is>
      </c>
      <c r="D52" s="63" t="n">
        <v>2</v>
      </c>
      <c r="E52" s="63" t="inlineStr">
        <is>
          <t>Standard</t>
        </is>
      </c>
      <c r="F52" s="63" t="inlineStr">
        <is>
          <t>Double action baler auto door: Specifications, Sizing and What to Check Before You Buy</t>
        </is>
      </c>
      <c r="G52" s="63" t="inlineStr">
        <is>
          <t>double action baler auto door</t>
        </is>
      </c>
      <c r="H52" s="63" t="inlineStr">
        <is>
          <t>Balers</t>
        </is>
      </c>
      <c r="I52" s="63" t="inlineStr">
        <is>
          <t>Transactional</t>
        </is>
      </c>
      <c r="J52" s="63" t="n">
        <v>1500</v>
      </c>
      <c r="K52" s="63" t="inlineStr">
        <is>
          <t>/products/double-action-baler-auto-door</t>
        </is>
      </c>
      <c r="L52" s="80" t="n"/>
    </row>
    <row r="53" ht="15" customHeight="1" s="54">
      <c r="A53" s="67" t="n">
        <v>26</v>
      </c>
      <c r="B53" s="67" t="inlineStr">
        <is>
          <t>28-Aug-2026</t>
        </is>
      </c>
      <c r="C53" s="67" t="inlineStr">
        <is>
          <t>Fri</t>
        </is>
      </c>
      <c r="D53" s="67" t="n">
        <v>1</v>
      </c>
      <c r="E53" s="67" t="inlineStr">
        <is>
          <t>Standard</t>
        </is>
      </c>
      <c r="F53" s="67" t="inlineStr">
        <is>
          <t>Bike scrap baler machine: Specifications, Sizing and What to Check Before You Buy</t>
        </is>
      </c>
      <c r="G53" s="67" t="inlineStr">
        <is>
          <t>bike scrap baler machine</t>
        </is>
      </c>
      <c r="H53" s="67" t="inlineStr">
        <is>
          <t>ELV / RVSF</t>
        </is>
      </c>
      <c r="I53" s="67" t="inlineStr">
        <is>
          <t>Transactional</t>
        </is>
      </c>
      <c r="J53" s="67" t="n">
        <v>1500</v>
      </c>
      <c r="K53" s="67" t="inlineStr">
        <is>
          <t>/products/car-baler</t>
        </is>
      </c>
      <c r="L53" s="80" t="n"/>
    </row>
    <row r="54" ht="15" customHeight="1" s="54">
      <c r="A54" s="67" t="n">
        <v>26</v>
      </c>
      <c r="B54" s="67" t="inlineStr">
        <is>
          <t>28-Aug-2026</t>
        </is>
      </c>
      <c r="C54" s="67" t="inlineStr">
        <is>
          <t>Fri</t>
        </is>
      </c>
      <c r="D54" s="67" t="n">
        <v>2</v>
      </c>
      <c r="E54" s="67" t="inlineStr">
        <is>
          <t>Standard</t>
        </is>
      </c>
      <c r="F54" s="67" t="inlineStr">
        <is>
          <t>Scrap baling press machine in delhi ncr: Specifications, Sizing and What to Check Before You Buy</t>
        </is>
      </c>
      <c r="G54" s="67" t="inlineStr">
        <is>
          <t>scrap baling press machine in delhi ncr</t>
        </is>
      </c>
      <c r="H54" s="67" t="inlineStr">
        <is>
          <t>Local SEO</t>
        </is>
      </c>
      <c r="I54" s="67" t="inlineStr">
        <is>
          <t>Transactional</t>
        </is>
      </c>
      <c r="J54" s="67" t="n">
        <v>1500</v>
      </c>
      <c r="K54" s="67" t="inlineStr">
        <is>
          <t>/locations</t>
        </is>
      </c>
      <c r="L54" s="80" t="n"/>
    </row>
    <row r="55" ht="15" customHeight="1" s="54">
      <c r="A55" s="63" t="n">
        <v>27</v>
      </c>
      <c r="B55" s="63" t="inlineStr">
        <is>
          <t>29-Aug-2026</t>
        </is>
      </c>
      <c r="C55" s="63" t="inlineStr">
        <is>
          <t>Sat</t>
        </is>
      </c>
      <c r="D55" s="63" t="n">
        <v>1</v>
      </c>
      <c r="E55" s="63" t="inlineStr">
        <is>
          <t>Standard</t>
        </is>
      </c>
      <c r="F55" s="63" t="inlineStr">
        <is>
          <t>Ms scrap baling press: Specifications, Sizing and What to Check Before You Buy</t>
        </is>
      </c>
      <c r="G55" s="63" t="inlineStr">
        <is>
          <t>ms scrap baling press</t>
        </is>
      </c>
      <c r="H55" s="63" t="inlineStr">
        <is>
          <t>Balers</t>
        </is>
      </c>
      <c r="I55" s="63" t="inlineStr">
        <is>
          <t>Transactional</t>
        </is>
      </c>
      <c r="J55" s="63" t="n">
        <v>1500</v>
      </c>
      <c r="K55" s="63" t="inlineStr">
        <is>
          <t>/products/high-density-baler</t>
        </is>
      </c>
      <c r="L55" s="80" t="n"/>
    </row>
    <row r="56" ht="15" customHeight="1" s="54">
      <c r="A56" s="63" t="n">
        <v>27</v>
      </c>
      <c r="B56" s="63" t="inlineStr">
        <is>
          <t>29-Aug-2026</t>
        </is>
      </c>
      <c r="C56" s="63" t="inlineStr">
        <is>
          <t>Sat</t>
        </is>
      </c>
      <c r="D56" s="63" t="n">
        <v>2</v>
      </c>
      <c r="E56" s="63" t="inlineStr">
        <is>
          <t>Standard</t>
        </is>
      </c>
      <c r="F56" s="63" t="inlineStr">
        <is>
          <t>Cattle feed block machine price: Specifications, Sizing and What to Check Before You Buy</t>
        </is>
      </c>
      <c r="G56" s="63" t="inlineStr">
        <is>
          <t>cattle feed block machine price</t>
        </is>
      </c>
      <c r="H56" s="63" t="inlineStr">
        <is>
          <t>Agriculture</t>
        </is>
      </c>
      <c r="I56" s="63" t="inlineStr">
        <is>
          <t>Transactional</t>
        </is>
      </c>
      <c r="J56" s="63" t="n">
        <v>1500</v>
      </c>
      <c r="K56" s="63" t="inlineStr">
        <is>
          <t>/products/fodder-block-machine</t>
        </is>
      </c>
      <c r="L56" s="80" t="n"/>
    </row>
    <row r="57" ht="15" customHeight="1" s="54">
      <c r="A57" s="95" t="n">
        <v>28</v>
      </c>
      <c r="B57" s="95" t="inlineStr">
        <is>
          <t>30-Aug-2026</t>
        </is>
      </c>
      <c r="C57" s="95" t="inlineStr">
        <is>
          <t>Sun</t>
        </is>
      </c>
      <c r="D57" s="95" t="n">
        <v>1</v>
      </c>
      <c r="E57" s="95" t="inlineStr">
        <is>
          <t>DEEP DIVE</t>
        </is>
      </c>
      <c r="F57" s="95" t="inlineStr">
        <is>
          <t>Triple action baler machine price: Specifications, Sizing and What to Check Before You Buy</t>
        </is>
      </c>
      <c r="G57" s="95" t="inlineStr">
        <is>
          <t>triple action baler machine price</t>
        </is>
      </c>
      <c r="H57" s="95" t="inlineStr">
        <is>
          <t>Balers</t>
        </is>
      </c>
      <c r="I57" s="95" t="inlineStr">
        <is>
          <t>Transactional</t>
        </is>
      </c>
      <c r="J57" s="95" t="n">
        <v>2500</v>
      </c>
      <c r="K57" s="95" t="inlineStr">
        <is>
          <t>/products/triple-action-baler</t>
        </is>
      </c>
      <c r="L57" s="80" t="n"/>
    </row>
    <row r="58" ht="15" customHeight="1" s="54">
      <c r="A58" s="63" t="n">
        <v>29</v>
      </c>
      <c r="B58" s="63" t="inlineStr">
        <is>
          <t>31-Aug-2026</t>
        </is>
      </c>
      <c r="C58" s="63" t="inlineStr">
        <is>
          <t>Mon</t>
        </is>
      </c>
      <c r="D58" s="63" t="n">
        <v>1</v>
      </c>
      <c r="E58" s="63" t="inlineStr">
        <is>
          <t>Standard</t>
        </is>
      </c>
      <c r="F58" s="63" t="inlineStr">
        <is>
          <t>Copper scrap baling machine: Specifications, Sizing and What to Check Before You Buy</t>
        </is>
      </c>
      <c r="G58" s="63" t="inlineStr">
        <is>
          <t>copper scrap baling machine</t>
        </is>
      </c>
      <c r="H58" s="63" t="inlineStr">
        <is>
          <t>Balers</t>
        </is>
      </c>
      <c r="I58" s="63" t="inlineStr">
        <is>
          <t>Transactional</t>
        </is>
      </c>
      <c r="J58" s="63" t="n">
        <v>1500</v>
      </c>
      <c r="K58" s="63" t="inlineStr">
        <is>
          <t>/products/mini-triple-action-baler</t>
        </is>
      </c>
      <c r="L58" s="80" t="n"/>
    </row>
    <row r="59" ht="15" customHeight="1" s="54">
      <c r="A59" s="63" t="n">
        <v>29</v>
      </c>
      <c r="B59" s="63" t="inlineStr">
        <is>
          <t>31-Aug-2026</t>
        </is>
      </c>
      <c r="C59" s="63" t="inlineStr">
        <is>
          <t>Mon</t>
        </is>
      </c>
      <c r="D59" s="63" t="n">
        <v>2</v>
      </c>
      <c r="E59" s="63" t="inlineStr">
        <is>
          <t>Standard</t>
        </is>
      </c>
      <c r="F59" s="63" t="inlineStr">
        <is>
          <t>Scrap metal shearing machine: Specifications, Sizing and What to Check Before You Buy</t>
        </is>
      </c>
      <c r="G59" s="63" t="inlineStr">
        <is>
          <t>scrap metal shearing machine</t>
        </is>
      </c>
      <c r="H59" s="63" t="inlineStr">
        <is>
          <t>Shears &amp; Nibblers</t>
        </is>
      </c>
      <c r="I59" s="63" t="inlineStr">
        <is>
          <t>Transactional</t>
        </is>
      </c>
      <c r="J59" s="63" t="n">
        <v>1500</v>
      </c>
      <c r="K59" s="63" t="inlineStr">
        <is>
          <t>/products/alligator-shear</t>
        </is>
      </c>
      <c r="L59" s="80" t="n"/>
    </row>
    <row r="60" ht="15" customHeight="1" s="54">
      <c r="A60" s="67" t="n">
        <v>30</v>
      </c>
      <c r="B60" s="67" t="inlineStr">
        <is>
          <t>01-Sep-2026</t>
        </is>
      </c>
      <c r="C60" s="67" t="inlineStr">
        <is>
          <t>Tue</t>
        </is>
      </c>
      <c r="D60" s="67" t="n">
        <v>1</v>
      </c>
      <c r="E60" s="67" t="inlineStr">
        <is>
          <t>Standard</t>
        </is>
      </c>
      <c r="F60" s="67" t="inlineStr">
        <is>
          <t>Tmt scrap baling machine: Specifications, Sizing and What to Check Before You Buy</t>
        </is>
      </c>
      <c r="G60" s="67" t="inlineStr">
        <is>
          <t>tmt scrap baling machine</t>
        </is>
      </c>
      <c r="H60" s="67" t="inlineStr">
        <is>
          <t>Balers</t>
        </is>
      </c>
      <c r="I60" s="67" t="inlineStr">
        <is>
          <t>Transactional</t>
        </is>
      </c>
      <c r="J60" s="67" t="n">
        <v>1500</v>
      </c>
      <c r="K60" s="67" t="inlineStr">
        <is>
          <t>/products/super-jumbo-baler</t>
        </is>
      </c>
      <c r="L60" s="80" t="n"/>
    </row>
    <row r="61" ht="15" customHeight="1" s="54">
      <c r="A61" s="67" t="n">
        <v>30</v>
      </c>
      <c r="B61" s="67" t="inlineStr">
        <is>
          <t>01-Sep-2026</t>
        </is>
      </c>
      <c r="C61" s="67" t="inlineStr">
        <is>
          <t>Tue</t>
        </is>
      </c>
      <c r="D61" s="67" t="n">
        <v>2</v>
      </c>
      <c r="E61" s="67" t="inlineStr">
        <is>
          <t>Standard</t>
        </is>
      </c>
      <c r="F61" s="67" t="inlineStr">
        <is>
          <t>Scrap cutting machine tmt bar: Specifications, Sizing and What to Check Before You Buy</t>
        </is>
      </c>
      <c r="G61" s="67" t="inlineStr">
        <is>
          <t>scrap cutting machine tmt bar</t>
        </is>
      </c>
      <c r="H61" s="67" t="inlineStr">
        <is>
          <t>Shears &amp; Nibblers</t>
        </is>
      </c>
      <c r="I61" s="67" t="inlineStr">
        <is>
          <t>Transactional</t>
        </is>
      </c>
      <c r="J61" s="67" t="n">
        <v>1500</v>
      </c>
      <c r="K61" s="67" t="inlineStr">
        <is>
          <t>/products/alligator-shear</t>
        </is>
      </c>
      <c r="L61" s="80" t="n"/>
    </row>
    <row r="62" ht="15" customHeight="1" s="54">
      <c r="A62" s="63" t="n">
        <v>31</v>
      </c>
      <c r="B62" s="63" t="inlineStr">
        <is>
          <t>02-Sep-2026</t>
        </is>
      </c>
      <c r="C62" s="63" t="inlineStr">
        <is>
          <t>Wed</t>
        </is>
      </c>
      <c r="D62" s="63" t="n">
        <v>1</v>
      </c>
      <c r="E62" s="63" t="inlineStr">
        <is>
          <t>Standard</t>
        </is>
      </c>
      <c r="F62" s="63" t="inlineStr">
        <is>
          <t>Hardox wear plate supplier india: Specifications, Sizing and What to Check Before You Buy</t>
        </is>
      </c>
      <c r="G62" s="63" t="inlineStr">
        <is>
          <t>hardox wear plate supplier india</t>
        </is>
      </c>
      <c r="H62" s="63" t="inlineStr">
        <is>
          <t>Service &amp; Spares</t>
        </is>
      </c>
      <c r="I62" s="63" t="inlineStr">
        <is>
          <t>Transactional</t>
        </is>
      </c>
      <c r="J62" s="63" t="n">
        <v>1500</v>
      </c>
      <c r="K62" s="63" t="inlineStr">
        <is>
          <t>/spares</t>
        </is>
      </c>
      <c r="L62" s="80" t="n"/>
    </row>
    <row r="63" ht="15" customHeight="1" s="54">
      <c r="A63" s="63" t="n">
        <v>31</v>
      </c>
      <c r="B63" s="63" t="inlineStr">
        <is>
          <t>02-Sep-2026</t>
        </is>
      </c>
      <c r="C63" s="63" t="inlineStr">
        <is>
          <t>Wed</t>
        </is>
      </c>
      <c r="D63" s="63" t="n">
        <v>2</v>
      </c>
      <c r="E63" s="63" t="inlineStr">
        <is>
          <t>Standard</t>
        </is>
      </c>
      <c r="F63" s="63" t="inlineStr">
        <is>
          <t>Scrap baling press machine in ahmedabad: Specifications, Sizing and What to Check Before You Buy</t>
        </is>
      </c>
      <c r="G63" s="63" t="inlineStr">
        <is>
          <t>scrap baling press machine in ahmedabad</t>
        </is>
      </c>
      <c r="H63" s="63" t="inlineStr">
        <is>
          <t>Local SEO</t>
        </is>
      </c>
      <c r="I63" s="63" t="inlineStr">
        <is>
          <t>Transactional</t>
        </is>
      </c>
      <c r="J63" s="63" t="n">
        <v>1500</v>
      </c>
      <c r="K63" s="63" t="inlineStr">
        <is>
          <t>/locations</t>
        </is>
      </c>
      <c r="L63" s="80" t="n"/>
    </row>
    <row r="64" ht="15" customHeight="1" s="54">
      <c r="A64" s="67" t="n">
        <v>32</v>
      </c>
      <c r="B64" s="67" t="inlineStr">
        <is>
          <t>03-Sep-2026</t>
        </is>
      </c>
      <c r="C64" s="67" t="inlineStr">
        <is>
          <t>Thu</t>
        </is>
      </c>
      <c r="D64" s="67" t="n">
        <v>1</v>
      </c>
      <c r="E64" s="67" t="inlineStr">
        <is>
          <t>Standard</t>
        </is>
      </c>
      <c r="F64" s="67" t="inlineStr">
        <is>
          <t>Aluminium scrap baler machine: Specifications, Sizing and What to Check Before You Buy</t>
        </is>
      </c>
      <c r="G64" s="67" t="inlineStr">
        <is>
          <t>aluminium scrap baler machine</t>
        </is>
      </c>
      <c r="H64" s="67" t="inlineStr">
        <is>
          <t>Balers</t>
        </is>
      </c>
      <c r="I64" s="67" t="inlineStr">
        <is>
          <t>Transactional</t>
        </is>
      </c>
      <c r="J64" s="67" t="n">
        <v>1500</v>
      </c>
      <c r="K64" s="67" t="inlineStr">
        <is>
          <t>/products/mini-triple-action-baler</t>
        </is>
      </c>
      <c r="L64" s="80" t="n"/>
    </row>
    <row r="65" ht="15" customHeight="1" s="54">
      <c r="A65" s="67" t="n">
        <v>32</v>
      </c>
      <c r="B65" s="67" t="inlineStr">
        <is>
          <t>03-Sep-2026</t>
        </is>
      </c>
      <c r="C65" s="67" t="inlineStr">
        <is>
          <t>Thu</t>
        </is>
      </c>
      <c r="D65" s="67" t="n">
        <v>2</v>
      </c>
      <c r="E65" s="67" t="inlineStr">
        <is>
          <t>Standard</t>
        </is>
      </c>
      <c r="F65" s="67" t="inlineStr">
        <is>
          <t>Super jumbo baler: Specifications, Sizing and What to Check Before You Buy</t>
        </is>
      </c>
      <c r="G65" s="67" t="inlineStr">
        <is>
          <t>super jumbo baler</t>
        </is>
      </c>
      <c r="H65" s="67" t="inlineStr">
        <is>
          <t>Balers</t>
        </is>
      </c>
      <c r="I65" s="67" t="inlineStr">
        <is>
          <t>Transactional</t>
        </is>
      </c>
      <c r="J65" s="67" t="n">
        <v>1500</v>
      </c>
      <c r="K65" s="67" t="inlineStr">
        <is>
          <t>/products/super-jumbo-baler</t>
        </is>
      </c>
      <c r="L65" s="80" t="n"/>
    </row>
    <row r="66" ht="15" customHeight="1" s="54">
      <c r="A66" s="63" t="n">
        <v>33</v>
      </c>
      <c r="B66" s="63" t="inlineStr">
        <is>
          <t>04-Sep-2026</t>
        </is>
      </c>
      <c r="C66" s="63" t="inlineStr">
        <is>
          <t>Fri</t>
        </is>
      </c>
      <c r="D66" s="63" t="n">
        <v>1</v>
      </c>
      <c r="E66" s="63" t="inlineStr">
        <is>
          <t>Standard</t>
        </is>
      </c>
      <c r="F66" s="63" t="inlineStr">
        <is>
          <t>Plastic shredder machine price: Specifications, Sizing and What to Check Before You Buy</t>
        </is>
      </c>
      <c r="G66" s="63" t="inlineStr">
        <is>
          <t>plastic shredder machine price</t>
        </is>
      </c>
      <c r="H66" s="63" t="inlineStr">
        <is>
          <t>Shredders &amp; Crackers</t>
        </is>
      </c>
      <c r="I66" s="63" t="inlineStr">
        <is>
          <t>Transactional</t>
        </is>
      </c>
      <c r="J66" s="63" t="n">
        <v>1500</v>
      </c>
      <c r="K66" s="63" t="inlineStr">
        <is>
          <t>/products/shredders</t>
        </is>
      </c>
      <c r="L66" s="80" t="n"/>
    </row>
    <row r="67" ht="15" customHeight="1" s="54">
      <c r="A67" s="63" t="n">
        <v>33</v>
      </c>
      <c r="B67" s="63" t="inlineStr">
        <is>
          <t>04-Sep-2026</t>
        </is>
      </c>
      <c r="C67" s="63" t="inlineStr">
        <is>
          <t>Fri</t>
        </is>
      </c>
      <c r="D67" s="63" t="n">
        <v>2</v>
      </c>
      <c r="E67" s="63" t="inlineStr">
        <is>
          <t>Standard</t>
        </is>
      </c>
      <c r="F67" s="63" t="inlineStr">
        <is>
          <t>Metal baler machine: Specifications, Sizing and What to Check Before You Buy</t>
        </is>
      </c>
      <c r="G67" s="63" t="inlineStr">
        <is>
          <t>metal baler machine</t>
        </is>
      </c>
      <c r="H67" s="63" t="inlineStr">
        <is>
          <t>Balers</t>
        </is>
      </c>
      <c r="I67" s="63" t="inlineStr">
        <is>
          <t>Transactional</t>
        </is>
      </c>
      <c r="J67" s="63" t="n">
        <v>1500</v>
      </c>
      <c r="K67" s="63" t="inlineStr">
        <is>
          <t>/products/balers</t>
        </is>
      </c>
      <c r="L67" s="80" t="n"/>
    </row>
    <row r="68" ht="15" customHeight="1" s="54">
      <c r="A68" s="67" t="n">
        <v>34</v>
      </c>
      <c r="B68" s="67" t="inlineStr">
        <is>
          <t>05-Sep-2026</t>
        </is>
      </c>
      <c r="C68" s="67" t="inlineStr">
        <is>
          <t>Sat</t>
        </is>
      </c>
      <c r="D68" s="67" t="n">
        <v>1</v>
      </c>
      <c r="E68" s="67" t="inlineStr">
        <is>
          <t>Standard</t>
        </is>
      </c>
      <c r="F68" s="67" t="inlineStr">
        <is>
          <t>Belt conveyor manufacturer india: Specifications, Sizing and What to Check Before You Buy</t>
        </is>
      </c>
      <c r="G68" s="67" t="inlineStr">
        <is>
          <t>belt conveyor manufacturer india</t>
        </is>
      </c>
      <c r="H68" s="67" t="inlineStr">
        <is>
          <t>Material Handling</t>
        </is>
      </c>
      <c r="I68" s="67" t="inlineStr">
        <is>
          <t>Transactional</t>
        </is>
      </c>
      <c r="J68" s="67" t="n">
        <v>1500</v>
      </c>
      <c r="K68" s="67" t="inlineStr">
        <is>
          <t>/products/conveyors</t>
        </is>
      </c>
      <c r="L68" s="80" t="n"/>
    </row>
    <row r="69" ht="15" customHeight="1" s="54">
      <c r="A69" s="67" t="n">
        <v>34</v>
      </c>
      <c r="B69" s="67" t="inlineStr">
        <is>
          <t>05-Sep-2026</t>
        </is>
      </c>
      <c r="C69" s="67" t="inlineStr">
        <is>
          <t>Sat</t>
        </is>
      </c>
      <c r="D69" s="67" t="n">
        <v>2</v>
      </c>
      <c r="E69" s="67" t="inlineStr">
        <is>
          <t>Standard</t>
        </is>
      </c>
      <c r="F69" s="67" t="inlineStr">
        <is>
          <t>Baling press manufacturer in india: Specifications, Sizing and What to Check Before You Buy</t>
        </is>
      </c>
      <c r="G69" s="67" t="inlineStr">
        <is>
          <t>baling press manufacturer in india</t>
        </is>
      </c>
      <c r="H69" s="67" t="inlineStr">
        <is>
          <t>Balers</t>
        </is>
      </c>
      <c r="I69" s="67" t="inlineStr">
        <is>
          <t>Transactional</t>
        </is>
      </c>
      <c r="J69" s="67" t="n">
        <v>1500</v>
      </c>
      <c r="K69" s="67" t="inlineStr">
        <is>
          <t>/about</t>
        </is>
      </c>
      <c r="L69" s="8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2" customWidth="1" style="53" min="1" max="1"/>
    <col width="44" customWidth="1" style="53" min="2" max="2"/>
    <col width="34" customWidth="1" style="53" min="3" max="3"/>
    <col width="20" customWidth="1" style="53" min="4" max="4"/>
    <col width="12" customWidth="1" style="53" min="5" max="5"/>
    <col width="9" customWidth="1" style="53" min="6" max="6"/>
    <col width="13" customWidth="1" style="53" min="7" max="7"/>
    <col width="34" customWidth="1" style="53" min="8" max="8"/>
    <col width="15" customWidth="1" style="53" min="9" max="9"/>
    <col width="26" customWidth="1" style="53" min="10" max="12"/>
  </cols>
  <sheetData>
    <row r="1" ht="17.25" customHeight="1" s="54">
      <c r="A1" s="61" t="inlineStr">
        <is>
          <t>CONTENT MAP — BLOG TO KEYWORD</t>
        </is>
      </c>
    </row>
    <row r="2" ht="15" customHeight="1" s="54">
      <c r="A2" s="56" t="inlineStr">
        <is>
          <t>One primary keyword per blog. Update Status and Live URL as posts go out.</t>
        </is>
      </c>
    </row>
    <row r="4" ht="31.5" customHeight="1" s="54">
      <c r="A4" s="62" t="inlineStr">
        <is>
          <t>Blog Title</t>
        </is>
      </c>
      <c r="B4" s="62" t="inlineStr">
        <is>
          <t>Primary Keyword</t>
        </is>
      </c>
      <c r="C4" s="62" t="inlineStr">
        <is>
          <t>Secondary Keywords</t>
        </is>
      </c>
      <c r="D4" s="62" t="inlineStr">
        <is>
          <t>Category</t>
        </is>
      </c>
      <c r="E4" s="62" t="inlineStr">
        <is>
          <t>Type</t>
        </is>
      </c>
      <c r="F4" s="62" t="inlineStr">
        <is>
          <t>Words</t>
        </is>
      </c>
      <c r="G4" s="62" t="inlineStr">
        <is>
          <t>Publish Date</t>
        </is>
      </c>
      <c r="H4" s="62" t="inlineStr">
        <is>
          <t>Live URL</t>
        </is>
      </c>
      <c r="I4" s="62" t="inlineStr">
        <is>
          <t>Status</t>
        </is>
      </c>
      <c r="J4" s="62" t="inlineStr">
        <is>
          <t>Internal Links To</t>
        </is>
      </c>
      <c r="K4" s="62" t="inlineStr">
        <is>
          <t>CTA Used</t>
        </is>
      </c>
      <c r="L4" s="62" t="inlineStr">
        <is>
          <t>Sources Cited</t>
        </is>
      </c>
    </row>
    <row r="5" ht="15" customHeight="1" s="54">
      <c r="A5" s="63" t="inlineStr">
        <is>
          <t>RVSF Machinery Checklist: Every Machine You Need to Set Up a Vehicle Scrapping Facility in India</t>
        </is>
      </c>
      <c r="B5" s="63" t="inlineStr">
        <is>
          <t>rvsf machinery</t>
        </is>
      </c>
      <c r="C5" s="80" t="n"/>
      <c r="D5" s="63" t="inlineStr">
        <is>
          <t>ELV / RVSF</t>
        </is>
      </c>
      <c r="E5" s="63" t="inlineStr">
        <is>
          <t>Standard</t>
        </is>
      </c>
      <c r="F5" s="63" t="n">
        <v>1768</v>
      </c>
      <c r="G5" s="63" t="inlineStr">
        <is>
          <t>2026-08-03</t>
        </is>
      </c>
      <c r="H5" s="96" t="n"/>
      <c r="I5" s="80" t="inlineStr">
        <is>
          <t>Draft</t>
        </is>
      </c>
      <c r="J5" s="96" t="n"/>
      <c r="K5" s="80" t="inlineStr">
        <is>
          <t>Mid-article + closing CTA</t>
        </is>
      </c>
      <c r="L5" s="80" t="n">
        <v>5</v>
      </c>
    </row>
    <row r="6" ht="15" customHeight="1" s="54">
      <c r="A6" s="63" t="inlineStr">
        <is>
          <t>Metal Briquetting Machines: How Chip Recycling Pays for Itself</t>
        </is>
      </c>
      <c r="B6" s="63" t="inlineStr">
        <is>
          <t>metal briquetting machine</t>
        </is>
      </c>
      <c r="C6" s="80" t="n"/>
      <c r="D6" s="63" t="inlineStr">
        <is>
          <t>Briquetting</t>
        </is>
      </c>
      <c r="E6" s="63" t="inlineStr">
        <is>
          <t>Standard</t>
        </is>
      </c>
      <c r="F6" s="63" t="n">
        <v>1481</v>
      </c>
      <c r="G6" s="63" t="inlineStr">
        <is>
          <t>2026-08-03</t>
        </is>
      </c>
      <c r="H6" s="96" t="n"/>
      <c r="I6" s="80" t="inlineStr">
        <is>
          <t>Draft</t>
        </is>
      </c>
      <c r="J6" s="96" t="n"/>
      <c r="K6" s="80" t="inlineStr">
        <is>
          <t>Mid-article + closing CTA</t>
        </is>
      </c>
      <c r="L6" s="80" t="n">
        <v>5</v>
      </c>
    </row>
    <row r="7" ht="15" customHeight="1" s="54">
      <c r="A7" s="63" t="inlineStr">
        <is>
          <t>Types of Scrap Baling Machines: A Buyer's Guide to Choosing the Right Press</t>
        </is>
      </c>
      <c r="B7" s="63" t="inlineStr">
        <is>
          <t>types of scrap baling machines</t>
        </is>
      </c>
      <c r="C7" s="80" t="n"/>
      <c r="D7" s="63" t="inlineStr">
        <is>
          <t>Informational</t>
        </is>
      </c>
      <c r="E7" s="63" t="inlineStr">
        <is>
          <t>Standard</t>
        </is>
      </c>
      <c r="F7" s="63" t="n">
        <v>1886</v>
      </c>
      <c r="G7" s="63" t="inlineStr">
        <is>
          <t>2026-08-03</t>
        </is>
      </c>
      <c r="H7" s="96" t="n"/>
      <c r="I7" s="80" t="inlineStr">
        <is>
          <t>Draft</t>
        </is>
      </c>
      <c r="J7" s="96" t="n"/>
      <c r="K7" s="80" t="inlineStr">
        <is>
          <t>Mid-article + closing CTA</t>
        </is>
      </c>
      <c r="L7" s="80" t="n">
        <v>4</v>
      </c>
    </row>
    <row r="8" ht="15" customHeight="1" s="54">
      <c r="A8" s="63" t="inlineStr">
        <is>
          <t>Baling press machine: Specifications, Sizing and What to Check Before You Buy</t>
        </is>
      </c>
      <c r="B8" s="63" t="inlineStr">
        <is>
          <t>baling press machine</t>
        </is>
      </c>
      <c r="C8" s="80" t="n"/>
      <c r="D8" s="63" t="inlineStr">
        <is>
          <t>Balers</t>
        </is>
      </c>
      <c r="E8" s="63" t="inlineStr">
        <is>
          <t>Standard</t>
        </is>
      </c>
      <c r="F8" s="63" t="n">
        <v>1500</v>
      </c>
      <c r="G8" s="63" t="inlineStr">
        <is>
          <t>2026-08-04</t>
        </is>
      </c>
      <c r="H8" s="96" t="n"/>
      <c r="I8" s="96" t="n"/>
      <c r="J8" s="96" t="n"/>
      <c r="K8" s="96" t="n"/>
      <c r="L8" s="96" t="n"/>
    </row>
    <row r="9" ht="15" customHeight="1" s="54">
      <c r="A9" s="63" t="inlineStr">
        <is>
          <t>Scrap Baling Press Machine: How to Read the Spec Sheet and Size the Press</t>
        </is>
      </c>
      <c r="B9" s="63" t="inlineStr">
        <is>
          <t>scrap baling press machine</t>
        </is>
      </c>
      <c r="C9" s="80" t="inlineStr">
        <is>
          <t>baling press specifications; how to size a baling press; bale size vs chamber size; baling press cycle time; scrap baler capacity calculation</t>
        </is>
      </c>
      <c r="D9" s="63" t="inlineStr">
        <is>
          <t>Balers</t>
        </is>
      </c>
      <c r="E9" s="63" t="inlineStr">
        <is>
          <t>Standard</t>
        </is>
      </c>
      <c r="F9" s="63" t="n">
        <v>1878</v>
      </c>
      <c r="G9" s="63" t="inlineStr">
        <is>
          <t>2026-08-04</t>
        </is>
      </c>
      <c r="H9" s="96" t="n"/>
      <c r="I9" s="96" t="inlineStr">
        <is>
          <t>Draft</t>
        </is>
      </c>
      <c r="J9" s="96" t="inlineStr">
        <is>
          <t>/blog/types-of-scrap-baling-machines; /blog/scrap-baler-machine-price; /contact</t>
        </is>
      </c>
      <c r="K9" s="96" t="inlineStr">
        <is>
          <t>Mid-article + closing CTA</t>
        </is>
      </c>
      <c r="L9" s="96" t="n">
        <v>4</v>
      </c>
    </row>
    <row r="10" ht="15" customHeight="1" s="54">
      <c r="A10" s="63" t="inlineStr">
        <is>
          <t>Vehicle Scrapping Policy India 2026: What Buyers Need to Know</t>
        </is>
      </c>
      <c r="B10" s="63" t="inlineStr">
        <is>
          <t>vehicle scrapping policy india 2026</t>
        </is>
      </c>
      <c r="C10" s="80" t="n"/>
      <c r="D10" s="63" t="inlineStr">
        <is>
          <t>ELV / RVSF</t>
        </is>
      </c>
      <c r="E10" s="63" t="inlineStr">
        <is>
          <t>Standard</t>
        </is>
      </c>
      <c r="F10" s="63" t="n">
        <v>1904</v>
      </c>
      <c r="G10" s="63" t="inlineStr">
        <is>
          <t>2026-08-05</t>
        </is>
      </c>
      <c r="H10" s="96" t="n"/>
      <c r="I10" s="96" t="inlineStr">
        <is>
          <t>Draft</t>
        </is>
      </c>
      <c r="J10" s="96" t="inlineStr">
        <is>
          <t>/contact</t>
        </is>
      </c>
      <c r="K10" s="96" t="inlineStr">
        <is>
          <t>Mid-article + closing CTA</t>
        </is>
      </c>
      <c r="L10" s="96" t="n">
        <v>5</v>
      </c>
    </row>
    <row r="11" ht="15" customHeight="1" s="54">
      <c r="A11" s="63" t="inlineStr">
        <is>
          <t>Plastic Waste Management Rules in India: What the 2026 Amendment Changes for Processors</t>
        </is>
      </c>
      <c r="B11" s="63" t="inlineStr">
        <is>
          <t>plastic waste management rules india</t>
        </is>
      </c>
      <c r="C11" s="80" t="inlineStr">
        <is>
          <t>plastic waste management amendment rules 2026; EPR recycled content targets India; plastic waste processor registration; IS 14534 recycled plastic; baling machine for plastic recycling</t>
        </is>
      </c>
      <c r="D11" s="63" t="inlineStr">
        <is>
          <t>Thought Leadership</t>
        </is>
      </c>
      <c r="E11" s="63" t="inlineStr">
        <is>
          <t>Standard</t>
        </is>
      </c>
      <c r="F11" s="63" t="n">
        <v>1829</v>
      </c>
      <c r="G11" s="63" t="inlineStr">
        <is>
          <t>2026-08-05</t>
        </is>
      </c>
      <c r="H11" s="96" t="n"/>
      <c r="I11" s="96" t="inlineStr">
        <is>
          <t>Draft</t>
        </is>
      </c>
      <c r="J11" s="96" t="inlineStr">
        <is>
          <t>/contact</t>
        </is>
      </c>
      <c r="K11" s="96" t="inlineStr">
        <is>
          <t>Mid-article + closing CTA</t>
        </is>
      </c>
      <c r="L11" s="96" t="n">
        <v>4</v>
      </c>
    </row>
    <row r="12" ht="15" customHeight="1" s="54">
      <c r="A12" s="63" t="inlineStr">
        <is>
          <t>Hydraulic Baling Press: How the Hydraulics Actually Work, and What Goes Wrong</t>
        </is>
      </c>
      <c r="B12" s="63" t="inlineStr">
        <is>
          <t>hydraulic baling press</t>
        </is>
      </c>
      <c r="C12" s="80" t="inlineStr">
        <is>
          <t>baling press hydraulic system; baling press cylinder force calculation; hydraulic press overheating; hydraulic oil contamination baler; baling press troubleshooting</t>
        </is>
      </c>
      <c r="D12" s="63" t="inlineStr">
        <is>
          <t>Balers</t>
        </is>
      </c>
      <c r="E12" s="63" t="inlineStr">
        <is>
          <t>Standard</t>
        </is>
      </c>
      <c r="F12" s="63" t="n">
        <v>2024</v>
      </c>
      <c r="G12" s="63" t="inlineStr">
        <is>
          <t>2026-08-06</t>
        </is>
      </c>
      <c r="H12" s="96" t="n"/>
      <c r="I12" s="96" t="inlineStr">
        <is>
          <t>Draft</t>
        </is>
      </c>
      <c r="J12" s="96" t="inlineStr">
        <is>
          <t>/blog/scrap-baling-press-machine; /blog/scrap-baler-machine-price; /contact</t>
        </is>
      </c>
      <c r="K12" s="96" t="inlineStr">
        <is>
          <t>Mid-article + closing CTA</t>
        </is>
      </c>
      <c r="L12" s="96" t="n">
        <v>4</v>
      </c>
    </row>
    <row r="13" ht="15" customHeight="1" s="54">
      <c r="A13" s="63" t="inlineStr">
        <is>
          <t>Scrap baler machine: Specifications, Sizing and What to Check Before You Buy</t>
        </is>
      </c>
      <c r="B13" s="63" t="inlineStr">
        <is>
          <t>scrap baler machine</t>
        </is>
      </c>
      <c r="C13" s="80" t="n"/>
      <c r="D13" s="63" t="inlineStr">
        <is>
          <t>Balers</t>
        </is>
      </c>
      <c r="E13" s="63" t="inlineStr">
        <is>
          <t>Standard</t>
        </is>
      </c>
      <c r="F13" s="63" t="n">
        <v>1500</v>
      </c>
      <c r="G13" s="63" t="inlineStr">
        <is>
          <t>2026-08-06</t>
        </is>
      </c>
      <c r="H13" s="96" t="n"/>
      <c r="I13" s="96" t="n"/>
      <c r="J13" s="96" t="n"/>
      <c r="K13" s="96" t="n"/>
      <c r="L13" s="96" t="n"/>
    </row>
    <row r="14" ht="15" customHeight="1" s="54">
      <c r="A14" s="63" t="inlineStr">
        <is>
          <t>Scrap Baler Machine Price: What You Are Actually Paying For</t>
        </is>
      </c>
      <c r="B14" s="63" t="inlineStr">
        <is>
          <t>scrap baler machine price</t>
        </is>
      </c>
      <c r="C14" s="80" t="inlineStr">
        <is>
          <t>baling press cost india; hydraulic baler machine cost; baler machine quotation checklist; scrap baling machine running cost; how to compare baler quotations</t>
        </is>
      </c>
      <c r="D14" s="63" t="inlineStr">
        <is>
          <t>Balers</t>
        </is>
      </c>
      <c r="E14" s="63" t="inlineStr">
        <is>
          <t>Standard</t>
        </is>
      </c>
      <c r="F14" s="63" t="n">
        <v>1847</v>
      </c>
      <c r="G14" s="63" t="inlineStr">
        <is>
          <t>2026-08-07</t>
        </is>
      </c>
      <c r="H14" s="96" t="n"/>
      <c r="I14" s="80" t="inlineStr">
        <is>
          <t>Draft</t>
        </is>
      </c>
      <c r="J14" s="96" t="inlineStr">
        <is>
          <t>/products/balers; /blog/types-of-scrap-baling-machines; /blog/rvsf-machinery-checklist-india; /contact</t>
        </is>
      </c>
      <c r="K14" s="80" t="inlineStr">
        <is>
          <t>Mid-article + closing CTA</t>
        </is>
      </c>
      <c r="L14" s="80" t="n">
        <v>4</v>
      </c>
    </row>
    <row r="15" ht="15" customHeight="1" s="54">
      <c r="A15" s="63" t="inlineStr">
        <is>
          <t>GST on Scrap Metal in India: The Rate, Reverse Charge and the 2% TDS Rule</t>
        </is>
      </c>
      <c r="B15" s="63" t="inlineStr">
        <is>
          <t>gst rate on scrap metal india</t>
        </is>
      </c>
      <c r="C15" s="80" t="inlineStr">
        <is>
          <t>rcm on metal scrap; gst tds on scrap 2 percent; hsn code for scrap metal; gst on baling machine; input tax credit on recycling machinery</t>
        </is>
      </c>
      <c r="D15" s="63" t="inlineStr">
        <is>
          <t>Informational</t>
        </is>
      </c>
      <c r="E15" s="63" t="inlineStr">
        <is>
          <t>Standard</t>
        </is>
      </c>
      <c r="F15" s="63" t="n">
        <v>1837</v>
      </c>
      <c r="G15" s="63" t="inlineStr">
        <is>
          <t>2026-08-07</t>
        </is>
      </c>
      <c r="H15" s="96" t="n"/>
      <c r="I15" s="80" t="inlineStr">
        <is>
          <t>Draft</t>
        </is>
      </c>
      <c r="J15" s="96" t="inlineStr">
        <is>
          <t>/contact; /catalogue</t>
        </is>
      </c>
      <c r="K15" s="80" t="inlineStr">
        <is>
          <t>Mid-article + closing CTA</t>
        </is>
      </c>
      <c r="L15" s="80" t="n">
        <v>5</v>
      </c>
    </row>
    <row r="16" ht="15" customHeight="1" s="54">
      <c r="A16" s="63" t="inlineStr">
        <is>
          <t>Baling Press Machine Price in India: How to Build the Budget Before You Ask for a Quote</t>
        </is>
      </c>
      <c r="B16" s="63" t="inlineStr">
        <is>
          <t>baling press machine price in india</t>
        </is>
      </c>
      <c r="C16" s="80" t="inlineStr">
        <is>
          <t>baling press cost india; hydraulic baling press budget; baling press installed cost; baling press capacity sizing; baling press running cost per tonne</t>
        </is>
      </c>
      <c r="D16" s="63" t="inlineStr">
        <is>
          <t>Balers</t>
        </is>
      </c>
      <c r="E16" s="63" t="inlineStr">
        <is>
          <t>Standard</t>
        </is>
      </c>
      <c r="F16" s="63" t="n">
        <v>2032</v>
      </c>
      <c r="G16" s="63" t="inlineStr">
        <is>
          <t>2026-08-08</t>
        </is>
      </c>
      <c r="H16" s="96" t="n"/>
      <c r="I16" s="96" t="inlineStr">
        <is>
          <t>Draft</t>
        </is>
      </c>
      <c r="J16" s="96" t="inlineStr">
        <is>
          <t>/blog/scrap-baler-machine-price; https://www.scrapmonster.com/india-scrap-prices; /contact</t>
        </is>
      </c>
      <c r="K16" s="96" t="inlineStr">
        <is>
          <t>Mid-article + closing CTA</t>
        </is>
      </c>
      <c r="L16" s="96" t="n">
        <v>4</v>
      </c>
    </row>
    <row r="17" ht="15" customHeight="1" s="54">
      <c r="A17" s="63" t="inlineStr">
        <is>
          <t>Fodder Block Making Machine: Specifications, Output and the NLM Subsidy Route</t>
        </is>
      </c>
      <c r="B17" s="63" t="inlineStr">
        <is>
          <t>fodder block making machine</t>
        </is>
      </c>
      <c r="C17" s="80" t="inlineStr">
        <is>
          <t>fodder block machine specifications; TMR block making machine india; NLM subsidy fodder block unit; cattle feed block machine output; fodder block machine capacity</t>
        </is>
      </c>
      <c r="D17" s="63" t="inlineStr">
        <is>
          <t>Agriculture</t>
        </is>
      </c>
      <c r="E17" s="63" t="inlineStr">
        <is>
          <t>Standard</t>
        </is>
      </c>
      <c r="F17" s="63" t="n">
        <v>1884</v>
      </c>
      <c r="G17" s="63" t="inlineStr">
        <is>
          <t>2026-08-08</t>
        </is>
      </c>
      <c r="H17" s="96" t="n"/>
      <c r="I17" s="96" t="inlineStr">
        <is>
          <t>Draft</t>
        </is>
      </c>
      <c r="J17" s="96" t="inlineStr">
        <is>
          <t>/contact</t>
        </is>
      </c>
      <c r="K17" s="96" t="inlineStr">
        <is>
          <t>Mid-article + closing CTA</t>
        </is>
      </c>
      <c r="L17" s="96" t="n">
        <v>4</v>
      </c>
    </row>
    <row r="18" ht="15" customHeight="1" s="54">
      <c r="A18" s="63" t="inlineStr">
        <is>
          <t>Straw baler machine price india: Specifications, Sizing and What to Check Before You Buy</t>
        </is>
      </c>
      <c r="B18" s="63" t="inlineStr">
        <is>
          <t>straw baler machine price india</t>
        </is>
      </c>
      <c r="C18" s="80" t="n"/>
      <c r="D18" s="63" t="inlineStr">
        <is>
          <t>Agriculture</t>
        </is>
      </c>
      <c r="E18" s="63" t="inlineStr">
        <is>
          <t>DEEP DIVE</t>
        </is>
      </c>
      <c r="F18" s="63" t="n">
        <v>2500</v>
      </c>
      <c r="G18" s="63" t="inlineStr">
        <is>
          <t>2026-08-09</t>
        </is>
      </c>
      <c r="H18" s="96" t="n"/>
      <c r="I18" s="96" t="n"/>
      <c r="J18" s="96" t="n"/>
      <c r="K18" s="96" t="n"/>
      <c r="L18" s="96" t="n"/>
    </row>
    <row r="19" ht="15" customHeight="1" s="54">
      <c r="A19" s="63" t="inlineStr">
        <is>
          <t>Scrap Bundling Machine: What the Term Means, and Which Press Makes Your Bundle</t>
        </is>
      </c>
      <c r="B19" s="63" t="inlineStr">
        <is>
          <t>scrap bundling machine</t>
        </is>
      </c>
      <c r="C19" s="80" t="inlineStr">
        <is>
          <t>scrap bundling press; bundling machine vs baling machine; car baler bundles; bale weight for furnace charging; scrap bundling machine specifications</t>
        </is>
      </c>
      <c r="D19" s="63" t="inlineStr">
        <is>
          <t>Balers</t>
        </is>
      </c>
      <c r="E19" s="63" t="inlineStr">
        <is>
          <t>Standard</t>
        </is>
      </c>
      <c r="F19" s="63" t="n">
        <v>1829</v>
      </c>
      <c r="G19" s="63" t="inlineStr">
        <is>
          <t>2026-08-10</t>
        </is>
      </c>
      <c r="H19" s="96" t="n"/>
      <c r="I19" s="96" t="inlineStr">
        <is>
          <t>Draft</t>
        </is>
      </c>
      <c r="J19" s="96" t="inlineStr">
        <is>
          <t>/blog/types-of-scrap-baling-machines; /blog/scrap-baling-press-machine; /products/balers; /contact</t>
        </is>
      </c>
      <c r="K19" s="96" t="inlineStr">
        <is>
          <t>Mid-article + closing CTA</t>
        </is>
      </c>
      <c r="L19" s="96" t="n">
        <v>4</v>
      </c>
    </row>
    <row r="20" ht="15" customHeight="1" s="54">
      <c r="A20" s="63" t="inlineStr">
        <is>
          <t>Hydraulic Scrap Baling Press Machine: The Site, Power and Commissioning Checklist</t>
        </is>
      </c>
      <c r="B20" s="63" t="inlineStr">
        <is>
          <t>hydraulic scrap baling press machine</t>
        </is>
      </c>
      <c r="C20" s="80" t="inlineStr">
        <is>
          <t>baling press foundation requirement; baling press power supply sanctioned load; baling press installation checklist; baling press commissioning acceptance test; hydraulic oil cleanliness baling press</t>
        </is>
      </c>
      <c r="D20" s="63" t="inlineStr">
        <is>
          <t>Balers</t>
        </is>
      </c>
      <c r="E20" s="63" t="inlineStr">
        <is>
          <t>Standard</t>
        </is>
      </c>
      <c r="F20" s="63" t="n">
        <v>1926</v>
      </c>
      <c r="G20" s="63" t="inlineStr">
        <is>
          <t>2026-08-10</t>
        </is>
      </c>
      <c r="H20" s="96" t="n"/>
      <c r="I20" s="96" t="inlineStr">
        <is>
          <t>Draft</t>
        </is>
      </c>
      <c r="J20" s="96" t="inlineStr">
        <is>
          <t>/blog/hydraulic-baling-press; /blog/baling-press-machine-price-in-india; /products/balers; /contact</t>
        </is>
      </c>
      <c r="K20" s="96" t="inlineStr">
        <is>
          <t>Mid-article + closing CTA</t>
        </is>
      </c>
      <c r="L20" s="96" t="n">
        <v>4</v>
      </c>
    </row>
    <row r="21" ht="15" customHeight="1" s="54">
      <c r="A21" s="63" t="inlineStr">
        <is>
          <t>How to Start a Vehicle Scrapping Business in India: Approvals, Site and Machinery</t>
        </is>
      </c>
      <c r="B21" s="63" t="inlineStr">
        <is>
          <t>how to start a vehicle scrapping business in india</t>
        </is>
      </c>
      <c r="C21" s="80" t="inlineStr">
        <is>
          <t>rvsf registration process; vehicle scrapping business setup cost; rvsf licence requirements; certificate of deposit vehicle scrapping; elv recycling plant india</t>
        </is>
      </c>
      <c r="D21" s="63" t="inlineStr">
        <is>
          <t>ELV / RVSF</t>
        </is>
      </c>
      <c r="E21" s="63" t="inlineStr">
        <is>
          <t>Standard</t>
        </is>
      </c>
      <c r="F21" s="63" t="n">
        <v>1972</v>
      </c>
      <c r="G21" s="63" t="inlineStr">
        <is>
          <t>2026-08-11</t>
        </is>
      </c>
      <c r="H21" s="96" t="n"/>
      <c r="I21" s="96" t="inlineStr">
        <is>
          <t>Draft</t>
        </is>
      </c>
      <c r="J21" s="96" t="inlineStr">
        <is>
          <t>/blog/rvsf-machinery-checklist-india; /blog/vehicle-scrapping-policy; /products/car-baler; /contact</t>
        </is>
      </c>
      <c r="K21" s="96" t="inlineStr">
        <is>
          <t>Mid-article + closing CTA</t>
        </is>
      </c>
      <c r="L21" s="96" t="n">
        <v>5</v>
      </c>
    </row>
    <row r="22" ht="15" customHeight="1" s="54">
      <c r="A22" s="63" t="inlineStr">
        <is>
          <t>Alligator Shear Machine: How to Size One, and When You Need Something Else</t>
        </is>
      </c>
      <c r="B22" s="63" t="inlineStr">
        <is>
          <t>alligator shear machine</t>
        </is>
      </c>
      <c r="C22" s="80" t="inlineStr">
        <is>
          <t>alligator shear specifications; alligator shear cutting capacity; alligator shear vs nibbler; scrap cutting machine india; hydraulic alligator shear sizing</t>
        </is>
      </c>
      <c r="D22" s="63" t="inlineStr">
        <is>
          <t>Shears &amp; Nibblers</t>
        </is>
      </c>
      <c r="E22" s="63" t="inlineStr">
        <is>
          <t>Standard</t>
        </is>
      </c>
      <c r="F22" s="63" t="n">
        <v>1990</v>
      </c>
      <c r="G22" s="63" t="inlineStr">
        <is>
          <t>2026-08-11</t>
        </is>
      </c>
      <c r="H22" s="96" t="n"/>
      <c r="I22" s="96" t="inlineStr">
        <is>
          <t>Draft</t>
        </is>
      </c>
      <c r="J22" s="96" t="inlineStr">
        <is>
          <t>/products/alligator-shear; /products/nibblers; /blog/start-rvsf-india; /contact</t>
        </is>
      </c>
      <c r="K22" s="96" t="inlineStr">
        <is>
          <t>Mid-article + closing CTA</t>
        </is>
      </c>
      <c r="L22" s="96" t="n">
        <v>4</v>
      </c>
    </row>
    <row r="23" ht="15" customHeight="1" s="54">
      <c r="A23" s="63" t="inlineStr">
        <is>
          <t>Baler Machine Manufacturer in Alwar: How to Evaluate One Before You Buy</t>
        </is>
      </c>
      <c r="B23" s="63" t="inlineStr">
        <is>
          <t>baler machine manufacturer in alwar</t>
        </is>
      </c>
      <c r="C23" s="80" t="inlineStr">
        <is>
          <t>baling press manufacturer alwar rajasthan; matsya industrial area alwar machinery; how to choose a baler manufacturer; baler factory visit checklist; scrap baling machine supplier rajasthan</t>
        </is>
      </c>
      <c r="D23" s="63" t="inlineStr">
        <is>
          <t>Local SEO</t>
        </is>
      </c>
      <c r="E23" s="63" t="inlineStr">
        <is>
          <t>Standard</t>
        </is>
      </c>
      <c r="F23" s="63" t="n">
        <v>1991</v>
      </c>
      <c r="G23" s="63" t="inlineStr">
        <is>
          <t>2026-08-12</t>
        </is>
      </c>
      <c r="H23" s="96" t="n"/>
      <c r="I23" s="96" t="inlineStr">
        <is>
          <t>Draft</t>
        </is>
      </c>
      <c r="J23" s="96" t="inlineStr">
        <is>
          <t>/products/balers; /catalogue; /contact</t>
        </is>
      </c>
      <c r="K23" s="96" t="inlineStr">
        <is>
          <t>Mid-article + closing CTA</t>
        </is>
      </c>
      <c r="L23" s="96" t="n">
        <v>4</v>
      </c>
    </row>
    <row r="24" ht="15" customHeight="1" s="54">
      <c r="A24" s="63" t="inlineStr">
        <is>
          <t>Second Hand Baling Press Machine for Sale: What to Inspect, and When to Walk Away</t>
        </is>
      </c>
      <c r="B24" s="63" t="inlineStr">
        <is>
          <t>second hand baling press machine for sale</t>
        </is>
      </c>
      <c r="C24" s="80" t="inlineStr">
        <is>
          <t>used baling press machine india; refurbished baler machine buying guide; second hand scrap baler inspection checklist; used hydraulic press machine import india; old baling machine for sale risks</t>
        </is>
      </c>
      <c r="D24" s="63" t="inlineStr">
        <is>
          <t>Balers</t>
        </is>
      </c>
      <c r="E24" s="63" t="inlineStr">
        <is>
          <t>Standard</t>
        </is>
      </c>
      <c r="F24" s="63" t="n">
        <v>2223</v>
      </c>
      <c r="G24" s="63" t="inlineStr">
        <is>
          <t>2026-08-12</t>
        </is>
      </c>
      <c r="H24" s="96" t="n"/>
      <c r="I24" s="96" t="inlineStr">
        <is>
          <t>Draft</t>
        </is>
      </c>
      <c r="J24" s="96" t="inlineStr">
        <is>
          <t>/products/balers; /blog/baling-press-machine-price-in-india; /blog/hydraulic-baling-press; /contact</t>
        </is>
      </c>
      <c r="K24" s="96" t="inlineStr">
        <is>
          <t>Mid-article + closing CTA</t>
        </is>
      </c>
      <c r="L24" s="96" t="n">
        <v>4</v>
      </c>
    </row>
    <row r="25" ht="15" customHeight="1" s="54">
      <c r="A25" s="63" t="inlineStr">
        <is>
          <t>Baling Press Spare Parts: What Wears Out, When, and What to Keep on the Shelf</t>
        </is>
      </c>
      <c r="B25" s="63" t="inlineStr">
        <is>
          <t>baling press spare parts</t>
        </is>
      </c>
      <c r="C25" s="80" t="inlineStr">
        <is>
          <t>baler wear plate replacement; baling press seal kit; baler shear blade replacement; hydraulic power pack spares baler; baling press preventive maintenance</t>
        </is>
      </c>
      <c r="D25" s="63" t="inlineStr">
        <is>
          <t>Service &amp; Spares</t>
        </is>
      </c>
      <c r="E25" s="63" t="inlineStr">
        <is>
          <t>Standard</t>
        </is>
      </c>
      <c r="F25" s="63" t="n">
        <v>2459</v>
      </c>
      <c r="G25" s="63" t="inlineStr">
        <is>
          <t>2026-08-13</t>
        </is>
      </c>
      <c r="H25" s="96" t="n"/>
      <c r="I25" s="96" t="inlineStr">
        <is>
          <t>Draft</t>
        </is>
      </c>
      <c r="J25" s="96" t="inlineStr">
        <is>
          <t>/spares; /products/balers; /contact</t>
        </is>
      </c>
      <c r="K25" s="96" t="inlineStr">
        <is>
          <t>Mid-article + closing CTA</t>
        </is>
      </c>
      <c r="L25" s="96" t="n">
        <v>4</v>
      </c>
    </row>
    <row r="26" ht="15" customHeight="1" s="54">
      <c r="A26" s="63" t="inlineStr">
        <is>
          <t>Scrap Baling Press Machine in Alwar: Sizing One for the Alwar–Bhiwadi Scrap Mix</t>
        </is>
      </c>
      <c r="B26" s="63" t="inlineStr">
        <is>
          <t>scrap baling press machine in alwar</t>
        </is>
      </c>
      <c r="C26" s="80" t="inlineStr">
        <is>
          <t>baling press for rolling mill scrap rajasthan; bale size for induction furnace charging; rvsf rajasthan machinery requirements; baling press power supply requirement; alwar bhiwadi scrap belt</t>
        </is>
      </c>
      <c r="D26" s="63" t="inlineStr">
        <is>
          <t>Local SEO</t>
        </is>
      </c>
      <c r="E26" s="63" t="inlineStr">
        <is>
          <t>Standard</t>
        </is>
      </c>
      <c r="F26" s="63" t="n">
        <v>2539</v>
      </c>
      <c r="G26" s="63" t="inlineStr">
        <is>
          <t>2026-08-13</t>
        </is>
      </c>
      <c r="H26" s="96" t="n"/>
      <c r="I26" s="96" t="inlineStr">
        <is>
          <t>Draft</t>
        </is>
      </c>
      <c r="J26" s="96" t="inlineStr">
        <is>
          <t>/blog/baler-machine-manufacturer-in-alwar; /products/balers; /products/briquetting; /contact</t>
        </is>
      </c>
      <c r="K26" s="96" t="inlineStr">
        <is>
          <t>Mid-article + closing CTA</t>
        </is>
      </c>
      <c r="L26" s="96" t="n">
        <v>4</v>
      </c>
    </row>
    <row r="27" ht="15" customHeight="1" s="54">
      <c r="A27" s="63" t="inlineStr">
        <is>
          <t>Pet bottle baling machine: Specifications, Sizing and What to Check Before You Buy</t>
        </is>
      </c>
      <c r="B27" s="63" t="inlineStr">
        <is>
          <t>pet bottle baling machine</t>
        </is>
      </c>
      <c r="C27" s="80" t="n"/>
      <c r="D27" s="63" t="inlineStr">
        <is>
          <t>Balers</t>
        </is>
      </c>
      <c r="E27" s="63" t="inlineStr">
        <is>
          <t>Standard</t>
        </is>
      </c>
      <c r="F27" s="63" t="n">
        <v>1500</v>
      </c>
      <c r="G27" s="63" t="inlineStr">
        <is>
          <t>2026-08-14</t>
        </is>
      </c>
      <c r="H27" s="96" t="n"/>
      <c r="I27" s="96" t="n"/>
      <c r="J27" s="96" t="n"/>
      <c r="K27" s="96" t="n"/>
      <c r="L27" s="96" t="n"/>
    </row>
    <row r="28" ht="15" customHeight="1" s="54">
      <c r="A28" s="63" t="inlineStr">
        <is>
          <t>Scrap baling press machine in mandi gobindgarh: Specifications, Sizing and What to Check Before You Buy</t>
        </is>
      </c>
      <c r="B28" s="63" t="inlineStr">
        <is>
          <t>scrap baling press machine in mandi gobindgarh</t>
        </is>
      </c>
      <c r="C28" s="80" t="n"/>
      <c r="D28" s="63" t="inlineStr">
        <is>
          <t>Local SEO</t>
        </is>
      </c>
      <c r="E28" s="63" t="inlineStr">
        <is>
          <t>Standard</t>
        </is>
      </c>
      <c r="F28" s="63" t="n">
        <v>1500</v>
      </c>
      <c r="G28" s="63" t="inlineStr">
        <is>
          <t>2026-08-14</t>
        </is>
      </c>
      <c r="H28" s="96" t="n"/>
      <c r="I28" s="96" t="n"/>
      <c r="J28" s="96" t="n"/>
      <c r="K28" s="96" t="n"/>
      <c r="L28" s="96" t="n"/>
    </row>
    <row r="29" ht="15" customHeight="1" s="54">
      <c r="A29" s="63" t="inlineStr">
        <is>
          <t>Silage baler machine india: Specifications, Sizing and What to Check Before You Buy</t>
        </is>
      </c>
      <c r="B29" s="63" t="inlineStr">
        <is>
          <t>silage baler machine india</t>
        </is>
      </c>
      <c r="C29" s="80" t="n"/>
      <c r="D29" s="63" t="inlineStr">
        <is>
          <t>Agriculture</t>
        </is>
      </c>
      <c r="E29" s="63" t="inlineStr">
        <is>
          <t>Standard</t>
        </is>
      </c>
      <c r="F29" s="63" t="n">
        <v>1500</v>
      </c>
      <c r="G29" s="63" t="inlineStr">
        <is>
          <t>2026-08-15</t>
        </is>
      </c>
      <c r="H29" s="96" t="n"/>
      <c r="I29" s="96" t="n"/>
      <c r="J29" s="96" t="n"/>
      <c r="K29" s="96" t="n"/>
      <c r="L29" s="96" t="n"/>
    </row>
    <row r="30" ht="15" customHeight="1" s="54">
      <c r="A30" s="63" t="inlineStr">
        <is>
          <t>Scrap baling press machine in bhiwadi: Specifications, Sizing and What to Check Before You Buy</t>
        </is>
      </c>
      <c r="B30" s="63" t="inlineStr">
        <is>
          <t>scrap baling press machine in bhiwadi</t>
        </is>
      </c>
      <c r="C30" s="80" t="n"/>
      <c r="D30" s="63" t="inlineStr">
        <is>
          <t>Local SEO</t>
        </is>
      </c>
      <c r="E30" s="63" t="inlineStr">
        <is>
          <t>Standard</t>
        </is>
      </c>
      <c r="F30" s="63" t="n">
        <v>1500</v>
      </c>
      <c r="G30" s="63" t="inlineStr">
        <is>
          <t>2026-08-15</t>
        </is>
      </c>
      <c r="H30" s="96" t="n"/>
      <c r="I30" s="96" t="n"/>
      <c r="J30" s="96" t="n"/>
      <c r="K30" s="96" t="n"/>
      <c r="L30" s="96" t="n"/>
    </row>
    <row r="31" ht="15" customHeight="1" s="54">
      <c r="A31" s="63" t="inlineStr">
        <is>
          <t>Scrap baling press machine in jaipur: Specifications, Sizing and What to Check Before You Buy</t>
        </is>
      </c>
      <c r="B31" s="63" t="inlineStr">
        <is>
          <t>scrap baling press machine in jaipur</t>
        </is>
      </c>
      <c r="C31" s="80" t="n"/>
      <c r="D31" s="63" t="inlineStr">
        <is>
          <t>Local SEO</t>
        </is>
      </c>
      <c r="E31" s="63" t="inlineStr">
        <is>
          <t>DEEP DIVE</t>
        </is>
      </c>
      <c r="F31" s="63" t="n">
        <v>2500</v>
      </c>
      <c r="G31" s="63" t="inlineStr">
        <is>
          <t>2026-08-16</t>
        </is>
      </c>
      <c r="H31" s="96" t="n"/>
      <c r="I31" s="96" t="n"/>
      <c r="J31" s="96" t="n"/>
      <c r="K31" s="96" t="n"/>
      <c r="L31" s="96" t="n"/>
    </row>
    <row r="32" ht="15" customHeight="1" s="54">
      <c r="A32" s="63" t="inlineStr">
        <is>
          <t>Baler machine manufacturer in mandi gobindgarh: Specifications, Sizing and What to Check Before You Buy</t>
        </is>
      </c>
      <c r="B32" s="63" t="inlineStr">
        <is>
          <t>baler machine manufacturer in mandi gobindgarh</t>
        </is>
      </c>
      <c r="C32" s="80" t="n"/>
      <c r="D32" s="63" t="inlineStr">
        <is>
          <t>Local SEO</t>
        </is>
      </c>
      <c r="E32" s="63" t="inlineStr">
        <is>
          <t>Standard</t>
        </is>
      </c>
      <c r="F32" s="63" t="n">
        <v>1500</v>
      </c>
      <c r="G32" s="63" t="inlineStr">
        <is>
          <t>2026-08-17</t>
        </is>
      </c>
      <c r="H32" s="96" t="n"/>
      <c r="I32" s="96" t="n"/>
      <c r="J32" s="96" t="n"/>
      <c r="K32" s="96" t="n"/>
      <c r="L32" s="96" t="n"/>
    </row>
    <row r="33" ht="15" customHeight="1" s="54">
      <c r="A33" s="63" t="inlineStr">
        <is>
          <t>Metal shredder machine: Specifications, Sizing and What to Check Before You Buy</t>
        </is>
      </c>
      <c r="B33" s="63" t="inlineStr">
        <is>
          <t>metal shredder machine</t>
        </is>
      </c>
      <c r="C33" s="80" t="n"/>
      <c r="D33" s="63" t="inlineStr">
        <is>
          <t>Shredders &amp; Crackers</t>
        </is>
      </c>
      <c r="E33" s="63" t="inlineStr">
        <is>
          <t>Standard</t>
        </is>
      </c>
      <c r="F33" s="63" t="n">
        <v>1500</v>
      </c>
      <c r="G33" s="63" t="inlineStr">
        <is>
          <t>2026-08-17</t>
        </is>
      </c>
      <c r="H33" s="96" t="n"/>
      <c r="I33" s="96" t="n"/>
      <c r="J33" s="96" t="n"/>
      <c r="K33" s="96" t="n"/>
      <c r="L33" s="96" t="n"/>
    </row>
    <row r="34" ht="15" customHeight="1" s="54">
      <c r="A34" s="63" t="inlineStr">
        <is>
          <t>Baler machine manufacturer in jaipur: Specifications, Sizing and What to Check Before You Buy</t>
        </is>
      </c>
      <c r="B34" s="63" t="inlineStr">
        <is>
          <t>baler machine manufacturer in jaipur</t>
        </is>
      </c>
      <c r="C34" s="80" t="n"/>
      <c r="D34" s="63" t="inlineStr">
        <is>
          <t>Local SEO</t>
        </is>
      </c>
      <c r="E34" s="63" t="inlineStr">
        <is>
          <t>Standard</t>
        </is>
      </c>
      <c r="F34" s="63" t="n">
        <v>1500</v>
      </c>
      <c r="G34" s="63" t="inlineStr">
        <is>
          <t>2026-08-18</t>
        </is>
      </c>
      <c r="H34" s="96" t="n"/>
      <c r="I34" s="96" t="n"/>
      <c r="J34" s="96" t="n"/>
      <c r="K34" s="96" t="n"/>
      <c r="L34" s="96" t="n"/>
    </row>
    <row r="35" ht="15" customHeight="1" s="54">
      <c r="A35" s="63" t="inlineStr">
        <is>
          <t>Baling press amc service india: Specifications, Sizing and What to Check Before You Buy</t>
        </is>
      </c>
      <c r="B35" s="63" t="inlineStr">
        <is>
          <t>baling press amc service india</t>
        </is>
      </c>
      <c r="C35" s="80" t="n"/>
      <c r="D35" s="63" t="inlineStr">
        <is>
          <t>Service &amp; Spares</t>
        </is>
      </c>
      <c r="E35" s="63" t="inlineStr">
        <is>
          <t>Standard</t>
        </is>
      </c>
      <c r="F35" s="63" t="n">
        <v>1500</v>
      </c>
      <c r="G35" s="63" t="inlineStr">
        <is>
          <t>2026-08-18</t>
        </is>
      </c>
      <c r="H35" s="96" t="n"/>
      <c r="I35" s="96" t="n"/>
      <c r="J35" s="96" t="n"/>
      <c r="K35" s="96" t="n"/>
      <c r="L35" s="96" t="n"/>
    </row>
    <row r="36" ht="15" customHeight="1" s="54">
      <c r="A36" s="63" t="inlineStr">
        <is>
          <t>Triple action baling press: Specifications, Sizing and What to Check Before You Buy</t>
        </is>
      </c>
      <c r="B36" s="63" t="inlineStr">
        <is>
          <t>triple action baling press</t>
        </is>
      </c>
      <c r="C36" s="80" t="n"/>
      <c r="D36" s="63" t="inlineStr">
        <is>
          <t>Balers</t>
        </is>
      </c>
      <c r="E36" s="63" t="inlineStr">
        <is>
          <t>Standard</t>
        </is>
      </c>
      <c r="F36" s="63" t="n">
        <v>1500</v>
      </c>
      <c r="G36" s="63" t="inlineStr">
        <is>
          <t>2026-08-19</t>
        </is>
      </c>
      <c r="H36" s="96" t="n"/>
      <c r="I36" s="96" t="n"/>
      <c r="J36" s="96" t="n"/>
      <c r="K36" s="96" t="n"/>
      <c r="L36" s="96" t="n"/>
    </row>
    <row r="37" ht="15" customHeight="1" s="54">
      <c r="A37" s="63" t="inlineStr">
        <is>
          <t>Hydraulic cylinder for baling press: Specifications, Sizing and What to Check Before You Buy</t>
        </is>
      </c>
      <c r="B37" s="63" t="inlineStr">
        <is>
          <t>hydraulic cylinder for baling press</t>
        </is>
      </c>
      <c r="C37" s="80" t="n"/>
      <c r="D37" s="63" t="inlineStr">
        <is>
          <t>Service &amp; Spares</t>
        </is>
      </c>
      <c r="E37" s="63" t="inlineStr">
        <is>
          <t>Standard</t>
        </is>
      </c>
      <c r="F37" s="63" t="n">
        <v>1500</v>
      </c>
      <c r="G37" s="63" t="inlineStr">
        <is>
          <t>2026-08-19</t>
        </is>
      </c>
      <c r="H37" s="96" t="n"/>
      <c r="I37" s="96" t="n"/>
      <c r="J37" s="96" t="n"/>
      <c r="K37" s="96" t="n"/>
      <c r="L37" s="96" t="n"/>
    </row>
    <row r="38" ht="15" customHeight="1" s="54">
      <c r="A38" s="63" t="inlineStr">
        <is>
          <t>Plastic baling machine: Specifications, Sizing and What to Check Before You Buy</t>
        </is>
      </c>
      <c r="B38" s="63" t="inlineStr">
        <is>
          <t>plastic baling machine</t>
        </is>
      </c>
      <c r="C38" s="80" t="n"/>
      <c r="D38" s="63" t="inlineStr">
        <is>
          <t>Balers</t>
        </is>
      </c>
      <c r="E38" s="63" t="inlineStr">
        <is>
          <t>Standard</t>
        </is>
      </c>
      <c r="F38" s="63" t="n">
        <v>1500</v>
      </c>
      <c r="G38" s="63" t="inlineStr">
        <is>
          <t>2026-08-20</t>
        </is>
      </c>
      <c r="H38" s="96" t="n"/>
      <c r="I38" s="96" t="n"/>
      <c r="J38" s="96" t="n"/>
      <c r="K38" s="96" t="n"/>
      <c r="L38" s="96" t="n"/>
    </row>
    <row r="39" ht="15" customHeight="1" s="54">
      <c r="A39" s="63" t="inlineStr">
        <is>
          <t>Mini triple action baler: Specifications, Sizing and What to Check Before You Buy</t>
        </is>
      </c>
      <c r="B39" s="63" t="inlineStr">
        <is>
          <t>mini triple action baler</t>
        </is>
      </c>
      <c r="C39" s="80" t="n"/>
      <c r="D39" s="63" t="inlineStr">
        <is>
          <t>Balers</t>
        </is>
      </c>
      <c r="E39" s="63" t="inlineStr">
        <is>
          <t>Standard</t>
        </is>
      </c>
      <c r="F39" s="63" t="n">
        <v>1500</v>
      </c>
      <c r="G39" s="63" t="inlineStr">
        <is>
          <t>2026-08-20</t>
        </is>
      </c>
      <c r="H39" s="96" t="n"/>
      <c r="I39" s="96" t="n"/>
      <c r="J39" s="96" t="n"/>
      <c r="K39" s="96" t="n"/>
      <c r="L39" s="96" t="n"/>
    </row>
    <row r="40" ht="15" customHeight="1" s="54">
      <c r="A40" s="63" t="inlineStr">
        <is>
          <t>Waste paper baling press machine: Specifications, Sizing and What to Check Before You Buy</t>
        </is>
      </c>
      <c r="B40" s="63" t="inlineStr">
        <is>
          <t>waste paper baling press machine</t>
        </is>
      </c>
      <c r="C40" s="80" t="n"/>
      <c r="D40" s="63" t="inlineStr">
        <is>
          <t>Balers</t>
        </is>
      </c>
      <c r="E40" s="63" t="inlineStr">
        <is>
          <t>Standard</t>
        </is>
      </c>
      <c r="F40" s="63" t="n">
        <v>1500</v>
      </c>
      <c r="G40" s="63" t="inlineStr">
        <is>
          <t>2026-08-21</t>
        </is>
      </c>
      <c r="H40" s="96" t="n"/>
      <c r="I40" s="96" t="n"/>
      <c r="J40" s="96" t="n"/>
      <c r="K40" s="96" t="n"/>
      <c r="L40" s="96" t="n"/>
    </row>
    <row r="41" ht="15" customHeight="1" s="54">
      <c r="A41" s="63" t="inlineStr">
        <is>
          <t>Bundle press machine: Specifications, Sizing and What to Check Before You Buy</t>
        </is>
      </c>
      <c r="B41" s="63" t="inlineStr">
        <is>
          <t>bundle press machine</t>
        </is>
      </c>
      <c r="C41" s="80" t="n"/>
      <c r="D41" s="63" t="inlineStr">
        <is>
          <t>Balers</t>
        </is>
      </c>
      <c r="E41" s="63" t="inlineStr">
        <is>
          <t>Standard</t>
        </is>
      </c>
      <c r="F41" s="63" t="n">
        <v>1500</v>
      </c>
      <c r="G41" s="63" t="inlineStr">
        <is>
          <t>2026-08-21</t>
        </is>
      </c>
      <c r="H41" s="96" t="n"/>
      <c r="I41" s="96" t="n"/>
      <c r="J41" s="96" t="n"/>
      <c r="K41" s="96" t="n"/>
      <c r="L41" s="96" t="n"/>
    </row>
    <row r="42" ht="15" customHeight="1" s="54">
      <c r="A42" s="63" t="inlineStr">
        <is>
          <t>Scrap baling press machine in jamshedpur: Specifications, Sizing and What to Check Before You Buy</t>
        </is>
      </c>
      <c r="B42" s="63" t="inlineStr">
        <is>
          <t>scrap baling press machine in jamshedpur</t>
        </is>
      </c>
      <c r="C42" s="80" t="n"/>
      <c r="D42" s="63" t="inlineStr">
        <is>
          <t>Local SEO</t>
        </is>
      </c>
      <c r="E42" s="63" t="inlineStr">
        <is>
          <t>Standard</t>
        </is>
      </c>
      <c r="F42" s="63" t="n">
        <v>1500</v>
      </c>
      <c r="G42" s="63" t="inlineStr">
        <is>
          <t>2026-08-22</t>
        </is>
      </c>
      <c r="H42" s="96" t="n"/>
      <c r="I42" s="96" t="n"/>
      <c r="J42" s="96" t="n"/>
      <c r="K42" s="96" t="n"/>
      <c r="L42" s="96" t="n"/>
    </row>
    <row r="43" ht="15" customHeight="1" s="54">
      <c r="A43" s="63" t="inlineStr">
        <is>
          <t>Scrap baling press machine in raipur: Specifications, Sizing and What to Check Before You Buy</t>
        </is>
      </c>
      <c r="B43" s="63" t="inlineStr">
        <is>
          <t>scrap baling press machine in raipur</t>
        </is>
      </c>
      <c r="C43" s="80" t="n"/>
      <c r="D43" s="63" t="inlineStr">
        <is>
          <t>Local SEO</t>
        </is>
      </c>
      <c r="E43" s="63" t="inlineStr">
        <is>
          <t>Standard</t>
        </is>
      </c>
      <c r="F43" s="63" t="n">
        <v>1500</v>
      </c>
      <c r="G43" s="63" t="inlineStr">
        <is>
          <t>2026-08-22</t>
        </is>
      </c>
      <c r="H43" s="96" t="n"/>
      <c r="I43" s="96" t="n"/>
      <c r="J43" s="96" t="n"/>
      <c r="K43" s="96" t="n"/>
      <c r="L43" s="96" t="n"/>
    </row>
    <row r="44" ht="15" customHeight="1" s="54">
      <c r="A44" s="63" t="inlineStr">
        <is>
          <t>Scrap baling press machine in kanpur: Specifications, Sizing and What to Check Before You Buy</t>
        </is>
      </c>
      <c r="B44" s="63" t="inlineStr">
        <is>
          <t>scrap baling press machine in kanpur</t>
        </is>
      </c>
      <c r="C44" s="80" t="n"/>
      <c r="D44" s="63" t="inlineStr">
        <is>
          <t>Local SEO</t>
        </is>
      </c>
      <c r="E44" s="63" t="inlineStr">
        <is>
          <t>DEEP DIVE</t>
        </is>
      </c>
      <c r="F44" s="63" t="n">
        <v>2500</v>
      </c>
      <c r="G44" s="63" t="inlineStr">
        <is>
          <t>2026-08-23</t>
        </is>
      </c>
      <c r="H44" s="96" t="n"/>
      <c r="I44" s="96" t="n"/>
      <c r="J44" s="96" t="n"/>
      <c r="K44" s="96" t="n"/>
      <c r="L44" s="96" t="n"/>
    </row>
    <row r="45" ht="15" customHeight="1" s="54">
      <c r="A45" s="63" t="inlineStr">
        <is>
          <t>Scrap baling press machine in rajkot: Specifications, Sizing and What to Check Before You Buy</t>
        </is>
      </c>
      <c r="B45" s="63" t="inlineStr">
        <is>
          <t>scrap baling press machine in rajkot</t>
        </is>
      </c>
      <c r="C45" s="80" t="n"/>
      <c r="D45" s="63" t="inlineStr">
        <is>
          <t>Local SEO</t>
        </is>
      </c>
      <c r="E45" s="63" t="inlineStr">
        <is>
          <t>Standard</t>
        </is>
      </c>
      <c r="F45" s="63" t="n">
        <v>1500</v>
      </c>
      <c r="G45" s="63" t="inlineStr">
        <is>
          <t>2026-08-24</t>
        </is>
      </c>
      <c r="H45" s="96" t="n"/>
      <c r="I45" s="96" t="n"/>
      <c r="J45" s="96" t="n"/>
      <c r="K45" s="96" t="n"/>
      <c r="L45" s="96" t="n"/>
    </row>
    <row r="46" ht="15" customHeight="1" s="54">
      <c r="A46" s="63" t="inlineStr">
        <is>
          <t>Scrap baling press machine in ludhiana: Specifications, Sizing and What to Check Before You Buy</t>
        </is>
      </c>
      <c r="B46" s="63" t="inlineStr">
        <is>
          <t>scrap baling press machine in ludhiana</t>
        </is>
      </c>
      <c r="C46" s="80" t="n"/>
      <c r="D46" s="63" t="inlineStr">
        <is>
          <t>Local SEO</t>
        </is>
      </c>
      <c r="E46" s="63" t="inlineStr">
        <is>
          <t>Standard</t>
        </is>
      </c>
      <c r="F46" s="63" t="n">
        <v>1500</v>
      </c>
      <c r="G46" s="63" t="inlineStr">
        <is>
          <t>2026-08-24</t>
        </is>
      </c>
      <c r="H46" s="96" t="n"/>
      <c r="I46" s="96" t="n"/>
      <c r="J46" s="96" t="n"/>
      <c r="K46" s="96" t="n"/>
      <c r="L46" s="96" t="n"/>
    </row>
    <row r="47" ht="15" customHeight="1" s="54">
      <c r="A47" s="63" t="inlineStr">
        <is>
          <t>Hydraulic baling press cost: Specifications, Sizing and What to Check Before You Buy</t>
        </is>
      </c>
      <c r="B47" s="63" t="inlineStr">
        <is>
          <t>hydraulic baling press cost</t>
        </is>
      </c>
      <c r="C47" s="80" t="n"/>
      <c r="D47" s="63" t="inlineStr">
        <is>
          <t>Balers</t>
        </is>
      </c>
      <c r="E47" s="63" t="inlineStr">
        <is>
          <t>Standard</t>
        </is>
      </c>
      <c r="F47" s="63" t="n">
        <v>1500</v>
      </c>
      <c r="G47" s="63" t="inlineStr">
        <is>
          <t>2026-08-25</t>
        </is>
      </c>
      <c r="H47" s="96" t="n"/>
      <c r="I47" s="96" t="n"/>
      <c r="J47" s="96" t="n"/>
      <c r="K47" s="96" t="n"/>
      <c r="L47" s="96" t="n"/>
    </row>
    <row r="48" ht="15" customHeight="1" s="54">
      <c r="A48" s="63" t="inlineStr">
        <is>
          <t>Top ejection baling press: Specifications, Sizing and What to Check Before You Buy</t>
        </is>
      </c>
      <c r="B48" s="63" t="inlineStr">
        <is>
          <t>top ejection baling press</t>
        </is>
      </c>
      <c r="C48" s="80" t="n"/>
      <c r="D48" s="63" t="inlineStr">
        <is>
          <t>Balers</t>
        </is>
      </c>
      <c r="E48" s="63" t="inlineStr">
        <is>
          <t>Standard</t>
        </is>
      </c>
      <c r="F48" s="63" t="n">
        <v>1500</v>
      </c>
      <c r="G48" s="63" t="inlineStr">
        <is>
          <t>2026-08-25</t>
        </is>
      </c>
      <c r="H48" s="96" t="n"/>
      <c r="I48" s="96" t="n"/>
      <c r="J48" s="96" t="n"/>
      <c r="K48" s="96" t="n"/>
      <c r="L48" s="96" t="n"/>
    </row>
    <row r="49" ht="15" customHeight="1" s="54">
      <c r="A49" s="63" t="inlineStr">
        <is>
          <t>Double action baling press: Specifications, Sizing and What to Check Before You Buy</t>
        </is>
      </c>
      <c r="B49" s="63" t="inlineStr">
        <is>
          <t>double action baling press</t>
        </is>
      </c>
      <c r="C49" s="80" t="n"/>
      <c r="D49" s="63" t="inlineStr">
        <is>
          <t>Balers</t>
        </is>
      </c>
      <c r="E49" s="63" t="inlineStr">
        <is>
          <t>Standard</t>
        </is>
      </c>
      <c r="F49" s="63" t="n">
        <v>1500</v>
      </c>
      <c r="G49" s="63" t="inlineStr">
        <is>
          <t>2026-08-26</t>
        </is>
      </c>
      <c r="H49" s="96" t="n"/>
      <c r="I49" s="96" t="n"/>
      <c r="J49" s="96" t="n"/>
      <c r="K49" s="96" t="n"/>
      <c r="L49" s="96" t="n"/>
    </row>
    <row r="50" ht="15" customHeight="1" s="54">
      <c r="A50" s="63" t="inlineStr">
        <is>
          <t>Double action baler manual door: Specifications, Sizing and What to Check Before You Buy</t>
        </is>
      </c>
      <c r="B50" s="63" t="inlineStr">
        <is>
          <t>double action baler manual door</t>
        </is>
      </c>
      <c r="C50" s="80" t="n"/>
      <c r="D50" s="63" t="inlineStr">
        <is>
          <t>Balers</t>
        </is>
      </c>
      <c r="E50" s="63" t="inlineStr">
        <is>
          <t>Standard</t>
        </is>
      </c>
      <c r="F50" s="63" t="n">
        <v>1500</v>
      </c>
      <c r="G50" s="63" t="inlineStr">
        <is>
          <t>2026-08-26</t>
        </is>
      </c>
      <c r="H50" s="96" t="n"/>
      <c r="I50" s="96" t="n"/>
      <c r="J50" s="96" t="n"/>
      <c r="K50" s="96" t="n"/>
      <c r="L50" s="96" t="n"/>
    </row>
    <row r="51" ht="15" customHeight="1" s="54">
      <c r="A51" s="63" t="inlineStr">
        <is>
          <t>Baler machine manufacturer in ludhiana: Specifications, Sizing and What to Check Before You Buy</t>
        </is>
      </c>
      <c r="B51" s="63" t="inlineStr">
        <is>
          <t>baler machine manufacturer in ludhiana</t>
        </is>
      </c>
      <c r="C51" s="80" t="n"/>
      <c r="D51" s="63" t="inlineStr">
        <is>
          <t>Local SEO</t>
        </is>
      </c>
      <c r="E51" s="63" t="inlineStr">
        <is>
          <t>Standard</t>
        </is>
      </c>
      <c r="F51" s="63" t="n">
        <v>1500</v>
      </c>
      <c r="G51" s="63" t="inlineStr">
        <is>
          <t>2026-08-27</t>
        </is>
      </c>
      <c r="H51" s="96" t="n"/>
      <c r="I51" s="96" t="n"/>
      <c r="J51" s="96" t="n"/>
      <c r="K51" s="96" t="n"/>
      <c r="L51" s="96" t="n"/>
    </row>
    <row r="52" ht="15" customHeight="1" s="54">
      <c r="A52" s="63" t="inlineStr">
        <is>
          <t>Double action baler auto door: Specifications, Sizing and What to Check Before You Buy</t>
        </is>
      </c>
      <c r="B52" s="63" t="inlineStr">
        <is>
          <t>double action baler auto door</t>
        </is>
      </c>
      <c r="C52" s="80" t="n"/>
      <c r="D52" s="63" t="inlineStr">
        <is>
          <t>Balers</t>
        </is>
      </c>
      <c r="E52" s="63" t="inlineStr">
        <is>
          <t>Standard</t>
        </is>
      </c>
      <c r="F52" s="63" t="n">
        <v>1500</v>
      </c>
      <c r="G52" s="63" t="inlineStr">
        <is>
          <t>2026-08-27</t>
        </is>
      </c>
      <c r="H52" s="96" t="n"/>
      <c r="I52" s="96" t="n"/>
      <c r="J52" s="96" t="n"/>
      <c r="K52" s="96" t="n"/>
      <c r="L52" s="96" t="n"/>
    </row>
    <row r="53" ht="15" customHeight="1" s="54">
      <c r="A53" s="63" t="inlineStr">
        <is>
          <t>Bike scrap baler machine: Specifications, Sizing and What to Check Before You Buy</t>
        </is>
      </c>
      <c r="B53" s="63" t="inlineStr">
        <is>
          <t>bike scrap baler machine</t>
        </is>
      </c>
      <c r="C53" s="80" t="n"/>
      <c r="D53" s="63" t="inlineStr">
        <is>
          <t>ELV / RVSF</t>
        </is>
      </c>
      <c r="E53" s="63" t="inlineStr">
        <is>
          <t>Standard</t>
        </is>
      </c>
      <c r="F53" s="63" t="n">
        <v>1500</v>
      </c>
      <c r="G53" s="63" t="inlineStr">
        <is>
          <t>2026-08-28</t>
        </is>
      </c>
      <c r="H53" s="96" t="n"/>
      <c r="I53" s="96" t="n"/>
      <c r="J53" s="96" t="n"/>
      <c r="K53" s="96" t="n"/>
      <c r="L53" s="96" t="n"/>
    </row>
    <row r="54" ht="15" customHeight="1" s="54">
      <c r="A54" s="63" t="inlineStr">
        <is>
          <t>Scrap baling press machine in delhi ncr: Specifications, Sizing and What to Check Before You Buy</t>
        </is>
      </c>
      <c r="B54" s="63" t="inlineStr">
        <is>
          <t>scrap baling press machine in delhi ncr</t>
        </is>
      </c>
      <c r="C54" s="80" t="n"/>
      <c r="D54" s="63" t="inlineStr">
        <is>
          <t>Local SEO</t>
        </is>
      </c>
      <c r="E54" s="63" t="inlineStr">
        <is>
          <t>Standard</t>
        </is>
      </c>
      <c r="F54" s="63" t="n">
        <v>1500</v>
      </c>
      <c r="G54" s="63" t="inlineStr">
        <is>
          <t>2026-08-28</t>
        </is>
      </c>
      <c r="H54" s="96" t="n"/>
      <c r="I54" s="96" t="n"/>
      <c r="J54" s="96" t="n"/>
      <c r="K54" s="96" t="n"/>
      <c r="L54" s="96" t="n"/>
    </row>
    <row r="55" ht="15" customHeight="1" s="54">
      <c r="A55" s="63" t="inlineStr">
        <is>
          <t>Ms scrap baling press: Specifications, Sizing and What to Check Before You Buy</t>
        </is>
      </c>
      <c r="B55" s="63" t="inlineStr">
        <is>
          <t>ms scrap baling press</t>
        </is>
      </c>
      <c r="C55" s="80" t="n"/>
      <c r="D55" s="63" t="inlineStr">
        <is>
          <t>Balers</t>
        </is>
      </c>
      <c r="E55" s="63" t="inlineStr">
        <is>
          <t>Standard</t>
        </is>
      </c>
      <c r="F55" s="63" t="n">
        <v>1500</v>
      </c>
      <c r="G55" s="63" t="inlineStr">
        <is>
          <t>2026-08-29</t>
        </is>
      </c>
      <c r="H55" s="96" t="n"/>
      <c r="I55" s="96" t="n"/>
      <c r="J55" s="96" t="n"/>
      <c r="K55" s="96" t="n"/>
      <c r="L55" s="96" t="n"/>
    </row>
    <row r="56" ht="15" customHeight="1" s="54">
      <c r="A56" s="63" t="inlineStr">
        <is>
          <t>Cattle feed block machine price: Specifications, Sizing and What to Check Before You Buy</t>
        </is>
      </c>
      <c r="B56" s="63" t="inlineStr">
        <is>
          <t>cattle feed block machine price</t>
        </is>
      </c>
      <c r="C56" s="80" t="n"/>
      <c r="D56" s="63" t="inlineStr">
        <is>
          <t>Agriculture</t>
        </is>
      </c>
      <c r="E56" s="63" t="inlineStr">
        <is>
          <t>Standard</t>
        </is>
      </c>
      <c r="F56" s="63" t="n">
        <v>1500</v>
      </c>
      <c r="G56" s="63" t="inlineStr">
        <is>
          <t>2026-08-29</t>
        </is>
      </c>
      <c r="H56" s="96" t="n"/>
      <c r="I56" s="96" t="n"/>
      <c r="J56" s="96" t="n"/>
      <c r="K56" s="96" t="n"/>
      <c r="L56" s="96" t="n"/>
    </row>
    <row r="57" ht="15" customHeight="1" s="54">
      <c r="A57" s="63" t="inlineStr">
        <is>
          <t>Triple action baler machine price: Specifications, Sizing and What to Check Before You Buy</t>
        </is>
      </c>
      <c r="B57" s="63" t="inlineStr">
        <is>
          <t>triple action baler machine price</t>
        </is>
      </c>
      <c r="C57" s="80" t="n"/>
      <c r="D57" s="63" t="inlineStr">
        <is>
          <t>Balers</t>
        </is>
      </c>
      <c r="E57" s="63" t="inlineStr">
        <is>
          <t>DEEP DIVE</t>
        </is>
      </c>
      <c r="F57" s="63" t="n">
        <v>2500</v>
      </c>
      <c r="G57" s="63" t="inlineStr">
        <is>
          <t>2026-08-30</t>
        </is>
      </c>
      <c r="H57" s="96" t="n"/>
      <c r="I57" s="96" t="n"/>
      <c r="J57" s="96" t="n"/>
      <c r="K57" s="96" t="n"/>
      <c r="L57" s="96" t="n"/>
    </row>
    <row r="58" ht="15" customHeight="1" s="54">
      <c r="A58" s="63" t="inlineStr">
        <is>
          <t>Copper scrap baling machine: Specifications, Sizing and What to Check Before You Buy</t>
        </is>
      </c>
      <c r="B58" s="63" t="inlineStr">
        <is>
          <t>copper scrap baling machine</t>
        </is>
      </c>
      <c r="C58" s="80" t="n"/>
      <c r="D58" s="63" t="inlineStr">
        <is>
          <t>Balers</t>
        </is>
      </c>
      <c r="E58" s="63" t="inlineStr">
        <is>
          <t>Standard</t>
        </is>
      </c>
      <c r="F58" s="63" t="n">
        <v>1500</v>
      </c>
      <c r="G58" s="63" t="inlineStr">
        <is>
          <t>2026-08-31</t>
        </is>
      </c>
      <c r="H58" s="96" t="n"/>
      <c r="I58" s="96" t="n"/>
      <c r="J58" s="96" t="n"/>
      <c r="K58" s="96" t="n"/>
      <c r="L58" s="96" t="n"/>
    </row>
    <row r="59" ht="15" customHeight="1" s="54">
      <c r="A59" s="63" t="inlineStr">
        <is>
          <t>Scrap metal shearing machine: Specifications, Sizing and What to Check Before You Buy</t>
        </is>
      </c>
      <c r="B59" s="63" t="inlineStr">
        <is>
          <t>scrap metal shearing machine</t>
        </is>
      </c>
      <c r="C59" s="80" t="n"/>
      <c r="D59" s="63" t="inlineStr">
        <is>
          <t>Shears &amp; Nibblers</t>
        </is>
      </c>
      <c r="E59" s="63" t="inlineStr">
        <is>
          <t>Standard</t>
        </is>
      </c>
      <c r="F59" s="63" t="n">
        <v>1500</v>
      </c>
      <c r="G59" s="63" t="inlineStr">
        <is>
          <t>2026-08-31</t>
        </is>
      </c>
      <c r="H59" s="96" t="n"/>
      <c r="I59" s="96" t="n"/>
      <c r="J59" s="96" t="n"/>
      <c r="K59" s="96" t="n"/>
      <c r="L59" s="96" t="n"/>
    </row>
    <row r="60" ht="15" customHeight="1" s="54">
      <c r="A60" s="63" t="inlineStr">
        <is>
          <t>Tmt scrap baling machine: Specifications, Sizing and What to Check Before You Buy</t>
        </is>
      </c>
      <c r="B60" s="63" t="inlineStr">
        <is>
          <t>tmt scrap baling machine</t>
        </is>
      </c>
      <c r="C60" s="80" t="n"/>
      <c r="D60" s="63" t="inlineStr">
        <is>
          <t>Balers</t>
        </is>
      </c>
      <c r="E60" s="63" t="inlineStr">
        <is>
          <t>Standard</t>
        </is>
      </c>
      <c r="F60" s="63" t="n">
        <v>1500</v>
      </c>
      <c r="G60" s="63" t="inlineStr">
        <is>
          <t>2026-09-01</t>
        </is>
      </c>
      <c r="H60" s="96" t="n"/>
      <c r="I60" s="96" t="n"/>
      <c r="J60" s="96" t="n"/>
      <c r="K60" s="96" t="n"/>
      <c r="L60" s="96" t="n"/>
    </row>
    <row r="61" ht="15" customHeight="1" s="54">
      <c r="A61" s="63" t="inlineStr">
        <is>
          <t>Scrap cutting machine tmt bar: Specifications, Sizing and What to Check Before You Buy</t>
        </is>
      </c>
      <c r="B61" s="63" t="inlineStr">
        <is>
          <t>scrap cutting machine tmt bar</t>
        </is>
      </c>
      <c r="C61" s="80" t="n"/>
      <c r="D61" s="63" t="inlineStr">
        <is>
          <t>Shears &amp; Nibblers</t>
        </is>
      </c>
      <c r="E61" s="63" t="inlineStr">
        <is>
          <t>Standard</t>
        </is>
      </c>
      <c r="F61" s="63" t="n">
        <v>1500</v>
      </c>
      <c r="G61" s="63" t="inlineStr">
        <is>
          <t>2026-09-01</t>
        </is>
      </c>
      <c r="H61" s="96" t="n"/>
      <c r="I61" s="96" t="n"/>
      <c r="J61" s="96" t="n"/>
      <c r="K61" s="96" t="n"/>
      <c r="L61" s="96" t="n"/>
    </row>
    <row r="62" ht="15" customHeight="1" s="54">
      <c r="A62" s="63" t="inlineStr">
        <is>
          <t>Hardox wear plate supplier india: Specifications, Sizing and What to Check Before You Buy</t>
        </is>
      </c>
      <c r="B62" s="63" t="inlineStr">
        <is>
          <t>hardox wear plate supplier india</t>
        </is>
      </c>
      <c r="C62" s="80" t="n"/>
      <c r="D62" s="63" t="inlineStr">
        <is>
          <t>Service &amp; Spares</t>
        </is>
      </c>
      <c r="E62" s="63" t="inlineStr">
        <is>
          <t>Standard</t>
        </is>
      </c>
      <c r="F62" s="63" t="n">
        <v>1500</v>
      </c>
      <c r="G62" s="63" t="inlineStr">
        <is>
          <t>2026-09-02</t>
        </is>
      </c>
      <c r="H62" s="96" t="n"/>
      <c r="I62" s="96" t="n"/>
      <c r="J62" s="96" t="n"/>
      <c r="K62" s="96" t="n"/>
      <c r="L62" s="96" t="n"/>
    </row>
    <row r="63" ht="15" customHeight="1" s="54">
      <c r="A63" s="63" t="inlineStr">
        <is>
          <t>Scrap baling press machine in ahmedabad: Specifications, Sizing and What to Check Before You Buy</t>
        </is>
      </c>
      <c r="B63" s="63" t="inlineStr">
        <is>
          <t>scrap baling press machine in ahmedabad</t>
        </is>
      </c>
      <c r="C63" s="80" t="n"/>
      <c r="D63" s="63" t="inlineStr">
        <is>
          <t>Local SEO</t>
        </is>
      </c>
      <c r="E63" s="63" t="inlineStr">
        <is>
          <t>Standard</t>
        </is>
      </c>
      <c r="F63" s="63" t="n">
        <v>1500</v>
      </c>
      <c r="G63" s="63" t="inlineStr">
        <is>
          <t>2026-09-02</t>
        </is>
      </c>
      <c r="H63" s="96" t="n"/>
      <c r="I63" s="96" t="n"/>
      <c r="J63" s="96" t="n"/>
      <c r="K63" s="96" t="n"/>
      <c r="L63" s="96" t="n"/>
    </row>
    <row r="64" ht="15" customHeight="1" s="54">
      <c r="A64" s="63" t="inlineStr">
        <is>
          <t>Aluminium scrap baler machine: Specifications, Sizing and What to Check Before You Buy</t>
        </is>
      </c>
      <c r="B64" s="63" t="inlineStr">
        <is>
          <t>aluminium scrap baler machine</t>
        </is>
      </c>
      <c r="C64" s="80" t="n"/>
      <c r="D64" s="63" t="inlineStr">
        <is>
          <t>Balers</t>
        </is>
      </c>
      <c r="E64" s="63" t="inlineStr">
        <is>
          <t>Standard</t>
        </is>
      </c>
      <c r="F64" s="63" t="n">
        <v>1500</v>
      </c>
      <c r="G64" s="63" t="inlineStr">
        <is>
          <t>2026-09-03</t>
        </is>
      </c>
      <c r="H64" s="96" t="n"/>
      <c r="I64" s="96" t="n"/>
      <c r="J64" s="96" t="n"/>
      <c r="K64" s="96" t="n"/>
      <c r="L64" s="96" t="n"/>
    </row>
    <row r="65" ht="15" customHeight="1" s="54">
      <c r="A65" s="63" t="inlineStr">
        <is>
          <t>Super jumbo baler: Specifications, Sizing and What to Check Before You Buy</t>
        </is>
      </c>
      <c r="B65" s="63" t="inlineStr">
        <is>
          <t>super jumbo baler</t>
        </is>
      </c>
      <c r="C65" s="80" t="n"/>
      <c r="D65" s="63" t="inlineStr">
        <is>
          <t>Balers</t>
        </is>
      </c>
      <c r="E65" s="63" t="inlineStr">
        <is>
          <t>Standard</t>
        </is>
      </c>
      <c r="F65" s="63" t="n">
        <v>1500</v>
      </c>
      <c r="G65" s="63" t="inlineStr">
        <is>
          <t>2026-09-03</t>
        </is>
      </c>
      <c r="H65" s="96" t="n"/>
      <c r="I65" s="96" t="n"/>
      <c r="J65" s="96" t="n"/>
      <c r="K65" s="96" t="n"/>
      <c r="L65" s="96" t="n"/>
    </row>
    <row r="66" ht="15" customHeight="1" s="54">
      <c r="A66" s="63" t="inlineStr">
        <is>
          <t>Plastic shredder machine price: Specifications, Sizing and What to Check Before You Buy</t>
        </is>
      </c>
      <c r="B66" s="63" t="inlineStr">
        <is>
          <t>plastic shredder machine price</t>
        </is>
      </c>
      <c r="C66" s="80" t="n"/>
      <c r="D66" s="63" t="inlineStr">
        <is>
          <t>Shredders &amp; Crackers</t>
        </is>
      </c>
      <c r="E66" s="63" t="inlineStr">
        <is>
          <t>Standard</t>
        </is>
      </c>
      <c r="F66" s="63" t="n">
        <v>1500</v>
      </c>
      <c r="G66" s="63" t="inlineStr">
        <is>
          <t>2026-09-04</t>
        </is>
      </c>
      <c r="H66" s="96" t="n"/>
      <c r="I66" s="96" t="n"/>
      <c r="J66" s="96" t="n"/>
      <c r="K66" s="96" t="n"/>
      <c r="L66" s="96" t="n"/>
    </row>
    <row r="67" ht="15" customHeight="1" s="54">
      <c r="A67" s="63" t="inlineStr">
        <is>
          <t>Metal baler machine: Specifications, Sizing and What to Check Before You Buy</t>
        </is>
      </c>
      <c r="B67" s="63" t="inlineStr">
        <is>
          <t>metal baler machine</t>
        </is>
      </c>
      <c r="C67" s="80" t="n"/>
      <c r="D67" s="63" t="inlineStr">
        <is>
          <t>Balers</t>
        </is>
      </c>
      <c r="E67" s="63" t="inlineStr">
        <is>
          <t>Standard</t>
        </is>
      </c>
      <c r="F67" s="63" t="n">
        <v>1500</v>
      </c>
      <c r="G67" s="63" t="inlineStr">
        <is>
          <t>2026-09-04</t>
        </is>
      </c>
      <c r="H67" s="96" t="n"/>
      <c r="I67" s="96" t="n"/>
      <c r="J67" s="96" t="n"/>
      <c r="K67" s="96" t="n"/>
      <c r="L67" s="96" t="n"/>
    </row>
    <row r="68" ht="15" customHeight="1" s="54">
      <c r="A68" s="63" t="inlineStr">
        <is>
          <t>Belt conveyor manufacturer india: Specifications, Sizing and What to Check Before You Buy</t>
        </is>
      </c>
      <c r="B68" s="63" t="inlineStr">
        <is>
          <t>belt conveyor manufacturer india</t>
        </is>
      </c>
      <c r="C68" s="80" t="n"/>
      <c r="D68" s="63" t="inlineStr">
        <is>
          <t>Material Handling</t>
        </is>
      </c>
      <c r="E68" s="63" t="inlineStr">
        <is>
          <t>Standard</t>
        </is>
      </c>
      <c r="F68" s="63" t="n">
        <v>1500</v>
      </c>
      <c r="G68" s="63" t="inlineStr">
        <is>
          <t>2026-09-05</t>
        </is>
      </c>
      <c r="H68" s="96" t="n"/>
      <c r="I68" s="96" t="n"/>
      <c r="J68" s="96" t="n"/>
      <c r="K68" s="96" t="n"/>
      <c r="L68" s="96" t="n"/>
    </row>
    <row r="69" ht="15" customHeight="1" s="54">
      <c r="A69" s="63" t="inlineStr">
        <is>
          <t>Baling press manufacturer in india: Specifications, Sizing and What to Check Before You Buy</t>
        </is>
      </c>
      <c r="B69" s="63" t="inlineStr">
        <is>
          <t>baling press manufacturer in india</t>
        </is>
      </c>
      <c r="C69" s="80" t="n"/>
      <c r="D69" s="63" t="inlineStr">
        <is>
          <t>Balers</t>
        </is>
      </c>
      <c r="E69" s="63" t="inlineStr">
        <is>
          <t>Standard</t>
        </is>
      </c>
      <c r="F69" s="63" t="n">
        <v>1500</v>
      </c>
      <c r="G69" s="63" t="inlineStr">
        <is>
          <t>2026-09-05</t>
        </is>
      </c>
      <c r="H69" s="96" t="n"/>
      <c r="I69" s="96" t="n"/>
      <c r="J69" s="96" t="n"/>
      <c r="K69" s="96" t="n"/>
      <c r="L69" s="96" t="n"/>
    </row>
  </sheetData>
  <autoFilter ref="A4:L69"/>
  <dataValidations count="1">
    <dataValidation sqref="I5:I69" showDropDown="0" showInputMessage="0" showErrorMessage="0" allowBlank="1" type="list" errorStyle="stop" operator="between">
      <formula1>"Draft,In review,Scheduled,Published,Needs update"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J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53" min="1" max="1"/>
    <col width="38" customWidth="1" style="53" min="2" max="2"/>
    <col width="16" customWidth="1" style="53" min="3" max="3"/>
    <col width="4" customWidth="1" style="53" min="4" max="4"/>
    <col width="24" customWidth="1" style="53" min="5" max="5"/>
    <col width="12" customWidth="1" style="53" min="6" max="6"/>
    <col width="13" customWidth="1" style="53" min="7" max="9"/>
    <col width="12" customWidth="1" style="53" min="10" max="10"/>
  </cols>
  <sheetData>
    <row r="2" ht="21.75" customHeight="1" s="54">
      <c r="B2" s="55" t="inlineStr">
        <is>
          <t>SEO DASHBOARD</t>
        </is>
      </c>
    </row>
    <row r="3" ht="15" customHeight="1" s="54">
      <c r="B3" s="56" t="inlineStr">
        <is>
          <t>Updates automatically from every other sheet.</t>
        </is>
      </c>
    </row>
    <row r="5" ht="15" customHeight="1" s="54">
      <c r="B5" s="59" t="inlineStr">
        <is>
          <t>HEADLINE NUMBERS</t>
        </is>
      </c>
      <c r="C5" s="60" t="n"/>
      <c r="E5" s="59" t="inlineStr">
        <is>
          <t>BY CATEGORY</t>
        </is>
      </c>
      <c r="F5" s="60" t="n"/>
      <c r="G5" s="60" t="n"/>
      <c r="H5" s="60" t="n"/>
      <c r="I5" s="60" t="n"/>
      <c r="J5" s="60" t="n"/>
    </row>
    <row r="6" ht="31.5" customHeight="1" s="54">
      <c r="B6" s="97" t="inlineStr">
        <is>
          <t>Keywords tracked</t>
        </is>
      </c>
      <c r="C6" s="98">
        <f>COUNTA('Keyword Master'!B5:B269)</f>
        <v/>
      </c>
      <c r="E6" s="62" t="inlineStr">
        <is>
          <t>Category</t>
        </is>
      </c>
      <c r="F6" s="62" t="inlineStr">
        <is>
          <t>Keywords</t>
        </is>
      </c>
      <c r="G6" s="62" t="inlineStr">
        <is>
          <t>Est. Vol/mo</t>
        </is>
      </c>
      <c r="H6" s="62" t="inlineStr">
        <is>
          <t>Avg Diff</t>
        </is>
      </c>
      <c r="I6" s="62" t="inlineStr">
        <is>
          <t>Avg Priority</t>
        </is>
      </c>
      <c r="J6" s="62" t="inlineStr">
        <is>
          <t>On Page 1</t>
        </is>
      </c>
    </row>
    <row r="7" ht="15" customHeight="1" s="54">
      <c r="B7" s="97" t="inlineStr">
        <is>
          <t>Total est. monthly volume (India)</t>
        </is>
      </c>
      <c r="C7" s="98">
        <f>SUM('Keyword Master'!G5:G269)</f>
        <v/>
      </c>
      <c r="E7" s="63" t="inlineStr">
        <is>
          <t>Balers</t>
        </is>
      </c>
      <c r="F7" s="99">
        <f>COUNTIF('Keyword Master'!$C$5:$C$269,E7)</f>
        <v/>
      </c>
      <c r="G7" s="99">
        <f>SUMIF('Keyword Master'!$C$5:$C$269,E7,'Keyword Master'!$G$5:$G$269)</f>
        <v/>
      </c>
      <c r="H7" s="99">
        <f>IFERROR(ROUND(AVERAGEIF('Keyword Master'!$C$5:$C$269,E7,'Keyword Master'!$I$5:$I$269),0),"-")</f>
        <v/>
      </c>
      <c r="I7" s="99">
        <f>IFERROR(ROUND(AVERAGEIF('Keyword Master'!$C$5:$C$269,E7,'Keyword Master'!$L$5:$L$269),1),"-")</f>
        <v/>
      </c>
      <c r="J7" s="99">
        <f>COUNTIFS('Rank Tracker'!$C$5:$C$265,E7,'Rank Tracker'!$E$5:$E$265,"&gt;0",'Rank Tracker'!$E$5:$E$265,"&lt;=10")</f>
        <v/>
      </c>
    </row>
    <row r="8" ht="15" customHeight="1" s="54">
      <c r="B8" s="97" t="inlineStr">
        <is>
          <t>Low-difficulty keywords (&lt;=20)</t>
        </is>
      </c>
      <c r="C8" s="98">
        <f>COUNTIF('Keyword Master'!I5:I269,"&lt;=20")</f>
        <v/>
      </c>
      <c r="E8" s="63" t="inlineStr">
        <is>
          <t>ELV / RVSF</t>
        </is>
      </c>
      <c r="F8" s="99">
        <f>COUNTIF('Keyword Master'!$C$5:$C$269,E8)</f>
        <v/>
      </c>
      <c r="G8" s="99">
        <f>SUMIF('Keyword Master'!$C$5:$C$269,E8,'Keyword Master'!$G$5:$G$269)</f>
        <v/>
      </c>
      <c r="H8" s="99">
        <f>IFERROR(ROUND(AVERAGEIF('Keyword Master'!$C$5:$C$269,E8,'Keyword Master'!$I$5:$I$269),0),"-")</f>
        <v/>
      </c>
      <c r="I8" s="99">
        <f>IFERROR(ROUND(AVERAGEIF('Keyword Master'!$C$5:$C$269,E8,'Keyword Master'!$L$5:$L$269),1),"-")</f>
        <v/>
      </c>
      <c r="J8" s="99">
        <f>COUNTIFS('Rank Tracker'!$C$5:$C$265,E8,'Rank Tracker'!$E$5:$E$265,"&gt;0",'Rank Tracker'!$E$5:$E$265,"&lt;=10")</f>
        <v/>
      </c>
    </row>
    <row r="9" ht="15" customHeight="1" s="54">
      <c r="B9" s="97" t="inlineStr">
        <is>
          <t>Priority 1 keywords (do now)</t>
        </is>
      </c>
      <c r="C9" s="98">
        <f>COUNTIF('Keyword Master'!M5:M269,"1 - Do now")</f>
        <v/>
      </c>
      <c r="E9" s="63" t="inlineStr">
        <is>
          <t>Shears &amp; Nibblers</t>
        </is>
      </c>
      <c r="F9" s="99">
        <f>COUNTIF('Keyword Master'!$C$5:$C$269,E9)</f>
        <v/>
      </c>
      <c r="G9" s="99">
        <f>SUMIF('Keyword Master'!$C$5:$C$269,E9,'Keyword Master'!$G$5:$G$269)</f>
        <v/>
      </c>
      <c r="H9" s="99">
        <f>IFERROR(ROUND(AVERAGEIF('Keyword Master'!$C$5:$C$269,E9,'Keyword Master'!$I$5:$I$269),0),"-")</f>
        <v/>
      </c>
      <c r="I9" s="99">
        <f>IFERROR(ROUND(AVERAGEIF('Keyword Master'!$C$5:$C$269,E9,'Keyword Master'!$L$5:$L$269),1),"-")</f>
        <v/>
      </c>
      <c r="J9" s="99">
        <f>COUNTIFS('Rank Tracker'!$C$5:$C$265,E9,'Rank Tracker'!$E$5:$E$265,"&gt;0",'Rank Tracker'!$E$5:$E$265,"&lt;=10")</f>
        <v/>
      </c>
    </row>
    <row r="10" ht="15" customHeight="1" s="54">
      <c r="B10" s="97" t="inlineStr">
        <is>
          <t>Keywords with a position entered</t>
        </is>
      </c>
      <c r="C10" s="98">
        <f>COUNT('Rank Tracker'!E5:E265)</f>
        <v/>
      </c>
      <c r="E10" s="63" t="inlineStr">
        <is>
          <t>Shredders &amp; Crackers</t>
        </is>
      </c>
      <c r="F10" s="99">
        <f>COUNTIF('Keyword Master'!$C$5:$C$269,E10)</f>
        <v/>
      </c>
      <c r="G10" s="99">
        <f>SUMIF('Keyword Master'!$C$5:$C$269,E10,'Keyword Master'!$G$5:$G$269)</f>
        <v/>
      </c>
      <c r="H10" s="99">
        <f>IFERROR(ROUND(AVERAGEIF('Keyword Master'!$C$5:$C$269,E10,'Keyword Master'!$I$5:$I$269),0),"-")</f>
        <v/>
      </c>
      <c r="I10" s="99">
        <f>IFERROR(ROUND(AVERAGEIF('Keyword Master'!$C$5:$C$269,E10,'Keyword Master'!$L$5:$L$269),1),"-")</f>
        <v/>
      </c>
      <c r="J10" s="99">
        <f>COUNTIFS('Rank Tracker'!$C$5:$C$265,E10,'Rank Tracker'!$E$5:$E$265,"&gt;0",'Rank Tracker'!$E$5:$E$265,"&lt;=10")</f>
        <v/>
      </c>
    </row>
    <row r="11" ht="15" customHeight="1" s="54">
      <c r="B11" s="97" t="inlineStr">
        <is>
          <t>Ranking in top 3</t>
        </is>
      </c>
      <c r="C11" s="98">
        <f>COUNTIFS('Rank Tracker'!E5:E265,"&gt;0",'Rank Tracker'!E5:E265,"&lt;=3")</f>
        <v/>
      </c>
      <c r="E11" s="63" t="inlineStr">
        <is>
          <t>Briquetting</t>
        </is>
      </c>
      <c r="F11" s="99">
        <f>COUNTIF('Keyword Master'!$C$5:$C$269,E11)</f>
        <v/>
      </c>
      <c r="G11" s="99">
        <f>SUMIF('Keyword Master'!$C$5:$C$269,E11,'Keyword Master'!$G$5:$G$269)</f>
        <v/>
      </c>
      <c r="H11" s="99">
        <f>IFERROR(ROUND(AVERAGEIF('Keyword Master'!$C$5:$C$269,E11,'Keyword Master'!$I$5:$I$269),0),"-")</f>
        <v/>
      </c>
      <c r="I11" s="99">
        <f>IFERROR(ROUND(AVERAGEIF('Keyword Master'!$C$5:$C$269,E11,'Keyword Master'!$L$5:$L$269),1),"-")</f>
        <v/>
      </c>
      <c r="J11" s="99">
        <f>COUNTIFS('Rank Tracker'!$C$5:$C$265,E11,'Rank Tracker'!$E$5:$E$265,"&gt;0",'Rank Tracker'!$E$5:$E$265,"&lt;=10")</f>
        <v/>
      </c>
    </row>
    <row r="12" ht="15" customHeight="1" s="54">
      <c r="B12" s="97" t="inlineStr">
        <is>
          <t>Ranking on page 1 (top 10)</t>
        </is>
      </c>
      <c r="C12" s="98">
        <f>COUNTIFS('Rank Tracker'!E5:E265,"&gt;0",'Rank Tracker'!E5:E265,"&lt;=10")</f>
        <v/>
      </c>
      <c r="E12" s="63" t="inlineStr">
        <is>
          <t>Material Handling</t>
        </is>
      </c>
      <c r="F12" s="99">
        <f>COUNTIF('Keyword Master'!$C$5:$C$269,E12)</f>
        <v/>
      </c>
      <c r="G12" s="99">
        <f>SUMIF('Keyword Master'!$C$5:$C$269,E12,'Keyword Master'!$G$5:$G$269)</f>
        <v/>
      </c>
      <c r="H12" s="99">
        <f>IFERROR(ROUND(AVERAGEIF('Keyword Master'!$C$5:$C$269,E12,'Keyword Master'!$I$5:$I$269),0),"-")</f>
        <v/>
      </c>
      <c r="I12" s="99">
        <f>IFERROR(ROUND(AVERAGEIF('Keyword Master'!$C$5:$C$269,E12,'Keyword Master'!$L$5:$L$269),1),"-")</f>
        <v/>
      </c>
      <c r="J12" s="99">
        <f>COUNTIFS('Rank Tracker'!$C$5:$C$265,E12,'Rank Tracker'!$E$5:$E$265,"&gt;0",'Rank Tracker'!$E$5:$E$265,"&lt;=10")</f>
        <v/>
      </c>
    </row>
    <row r="13" ht="15" customHeight="1" s="54">
      <c r="B13" s="97" t="inlineStr">
        <is>
          <t>Near wins (position 11-20)</t>
        </is>
      </c>
      <c r="C13" s="98">
        <f>COUNTIFS('Rank Tracker'!E5:E265,"&gt;10",'Rank Tracker'!E5:E265,"&lt;=20")</f>
        <v/>
      </c>
      <c r="E13" s="63" t="inlineStr">
        <is>
          <t>Agriculture</t>
        </is>
      </c>
      <c r="F13" s="99">
        <f>COUNTIF('Keyword Master'!$C$5:$C$269,E13)</f>
        <v/>
      </c>
      <c r="G13" s="99">
        <f>SUMIF('Keyword Master'!$C$5:$C$269,E13,'Keyword Master'!$G$5:$G$269)</f>
        <v/>
      </c>
      <c r="H13" s="99">
        <f>IFERROR(ROUND(AVERAGEIF('Keyword Master'!$C$5:$C$269,E13,'Keyword Master'!$I$5:$I$269),0),"-")</f>
        <v/>
      </c>
      <c r="I13" s="99">
        <f>IFERROR(ROUND(AVERAGEIF('Keyword Master'!$C$5:$C$269,E13,'Keyword Master'!$L$5:$L$269),1),"-")</f>
        <v/>
      </c>
      <c r="J13" s="99">
        <f>COUNTIFS('Rank Tracker'!$C$5:$C$265,E13,'Rank Tracker'!$E$5:$E$265,"&gt;0",'Rank Tracker'!$E$5:$E$265,"&lt;=10")</f>
        <v/>
      </c>
    </row>
    <row r="14" ht="15" customHeight="1" s="54">
      <c r="B14" s="97" t="inlineStr">
        <is>
          <t>Average position (tracked only)</t>
        </is>
      </c>
      <c r="C14" s="100">
        <f>IFERROR(AVERAGEIF('Rank Tracker'!E5:E265,"&gt;0"),"-")</f>
        <v/>
      </c>
      <c r="E14" s="63" t="inlineStr">
        <is>
          <t>Service &amp; Spares</t>
        </is>
      </c>
      <c r="F14" s="99">
        <f>COUNTIF('Keyword Master'!$C$5:$C$269,E14)</f>
        <v/>
      </c>
      <c r="G14" s="99">
        <f>SUMIF('Keyword Master'!$C$5:$C$269,E14,'Keyword Master'!$G$5:$G$269)</f>
        <v/>
      </c>
      <c r="H14" s="99">
        <f>IFERROR(ROUND(AVERAGEIF('Keyword Master'!$C$5:$C$269,E14,'Keyword Master'!$I$5:$I$269),0),"-")</f>
        <v/>
      </c>
      <c r="I14" s="99">
        <f>IFERROR(ROUND(AVERAGEIF('Keyword Master'!$C$5:$C$269,E14,'Keyword Master'!$L$5:$L$269),1),"-")</f>
        <v/>
      </c>
      <c r="J14" s="99">
        <f>COUNTIFS('Rank Tracker'!$C$5:$C$265,E14,'Rank Tracker'!$E$5:$E$265,"&gt;0",'Rank Tracker'!$E$5:$E$265,"&lt;=10")</f>
        <v/>
      </c>
    </row>
    <row r="15" ht="15" customHeight="1" s="54">
      <c r="B15" s="97" t="inlineStr">
        <is>
          <t>Keywords improved vs baseline</t>
        </is>
      </c>
      <c r="C15" s="98">
        <f>COUNTIF('Rank Tracker'!H5:H265,"&gt;0")</f>
        <v/>
      </c>
      <c r="E15" s="63" t="inlineStr">
        <is>
          <t>Informational</t>
        </is>
      </c>
      <c r="F15" s="99">
        <f>COUNTIF('Keyword Master'!$C$5:$C$269,E15)</f>
        <v/>
      </c>
      <c r="G15" s="99">
        <f>SUMIF('Keyword Master'!$C$5:$C$269,E15,'Keyword Master'!$G$5:$G$269)</f>
        <v/>
      </c>
      <c r="H15" s="99">
        <f>IFERROR(ROUND(AVERAGEIF('Keyword Master'!$C$5:$C$269,E15,'Keyword Master'!$I$5:$I$269),0),"-")</f>
        <v/>
      </c>
      <c r="I15" s="99">
        <f>IFERROR(ROUND(AVERAGEIF('Keyword Master'!$C$5:$C$269,E15,'Keyword Master'!$L$5:$L$269),1),"-")</f>
        <v/>
      </c>
      <c r="J15" s="99">
        <f>COUNTIFS('Rank Tracker'!$C$5:$C$265,E15,'Rank Tracker'!$E$5:$E$265,"&gt;0",'Rank Tracker'!$E$5:$E$265,"&lt;=10")</f>
        <v/>
      </c>
    </row>
    <row r="16" ht="15" customHeight="1" s="54">
      <c r="B16" s="97" t="inlineStr">
        <is>
          <t>Competitors audited</t>
        </is>
      </c>
      <c r="C16" s="98">
        <f>COUNTA('Competitor Audit'!A5:A17)</f>
        <v/>
      </c>
      <c r="E16" s="63" t="inlineStr">
        <is>
          <t>Thought Leadership</t>
        </is>
      </c>
      <c r="F16" s="99">
        <f>COUNTIF('Keyword Master'!$C$5:$C$269,E16)</f>
        <v/>
      </c>
      <c r="G16" s="99">
        <f>SUMIF('Keyword Master'!$C$5:$C$269,E16,'Keyword Master'!$G$5:$G$269)</f>
        <v/>
      </c>
      <c r="H16" s="99">
        <f>IFERROR(ROUND(AVERAGEIF('Keyword Master'!$C$5:$C$269,E16,'Keyword Master'!$I$5:$I$269),0),"-")</f>
        <v/>
      </c>
      <c r="I16" s="99">
        <f>IFERROR(ROUND(AVERAGEIF('Keyword Master'!$C$5:$C$269,E16,'Keyword Master'!$L$5:$L$269),1),"-")</f>
        <v/>
      </c>
      <c r="J16" s="99">
        <f>COUNTIFS('Rank Tracker'!$C$5:$C$265,E16,'Rank Tracker'!$E$5:$E$265,"&gt;0",'Rank Tracker'!$E$5:$E$265,"&lt;=10")</f>
        <v/>
      </c>
    </row>
    <row r="17" ht="15" customHeight="1" s="54">
      <c r="B17" s="97" t="inlineStr">
        <is>
          <t>Competitors with an owned site + blog</t>
        </is>
      </c>
      <c r="C17" s="98">
        <f>COUNTIFS('Competitor Audit'!D5:D17,"Yes",'Competitor Audit'!E5:E17,"Yes")</f>
        <v/>
      </c>
      <c r="E17" s="63" t="inlineStr">
        <is>
          <t>Industry Verticals</t>
        </is>
      </c>
      <c r="F17" s="99">
        <f>COUNTIF('Keyword Master'!$C$5:$C$269,E17)</f>
        <v/>
      </c>
      <c r="G17" s="99">
        <f>SUMIF('Keyword Master'!$C$5:$C$269,E17,'Keyword Master'!$G$5:$G$269)</f>
        <v/>
      </c>
      <c r="H17" s="99">
        <f>IFERROR(ROUND(AVERAGEIF('Keyword Master'!$C$5:$C$269,E17,'Keyword Master'!$I$5:$I$269),0),"-")</f>
        <v/>
      </c>
      <c r="I17" s="99">
        <f>IFERROR(ROUND(AVERAGEIF('Keyword Master'!$C$5:$C$269,E17,'Keyword Master'!$L$5:$L$269),1),"-")</f>
        <v/>
      </c>
      <c r="J17" s="99">
        <f>COUNTIFS('Rank Tracker'!$C$5:$C$265,E17,'Rank Tracker'!$E$5:$E$265,"&gt;0",'Rank Tracker'!$E$5:$E$265,"&lt;=10")</f>
        <v/>
      </c>
    </row>
    <row r="18" ht="15" customHeight="1" s="54">
      <c r="B18" s="97" t="inlineStr">
        <is>
          <t>Content gaps identified</t>
        </is>
      </c>
      <c r="C18" s="98">
        <f>COUNTA('Content Gaps'!A5:A16)</f>
        <v/>
      </c>
      <c r="E18" s="63" t="inlineStr">
        <is>
          <t>Local SEO</t>
        </is>
      </c>
      <c r="F18" s="99">
        <f>COUNTIF('Keyword Master'!$C$5:$C$269,E18)</f>
        <v/>
      </c>
      <c r="G18" s="99">
        <f>SUMIF('Keyword Master'!$C$5:$C$269,E18,'Keyword Master'!$G$5:$G$269)</f>
        <v/>
      </c>
      <c r="H18" s="99">
        <f>IFERROR(ROUND(AVERAGEIF('Keyword Master'!$C$5:$C$269,E18,'Keyword Master'!$I$5:$I$269),0),"-")</f>
        <v/>
      </c>
      <c r="I18" s="99">
        <f>IFERROR(ROUND(AVERAGEIF('Keyword Master'!$C$5:$C$269,E18,'Keyword Master'!$L$5:$L$269),1),"-")</f>
        <v/>
      </c>
      <c r="J18" s="99">
        <f>COUNTIFS('Rank Tracker'!$C$5:$C$265,E18,'Rank Tracker'!$E$5:$E$265,"&gt;0",'Rank Tracker'!$E$5:$E$265,"&lt;=10")</f>
        <v/>
      </c>
    </row>
    <row r="19" ht="15" customHeight="1" s="54">
      <c r="B19" s="97" t="inlineStr">
        <is>
          <t>Blogs in pipeline</t>
        </is>
      </c>
      <c r="C19" s="98">
        <f>COUNTA('Blog Pipeline'!F5:F69)</f>
        <v/>
      </c>
      <c r="E19" s="63" t="inlineStr">
        <is>
          <t>Export</t>
        </is>
      </c>
      <c r="F19" s="99">
        <f>COUNTIF('Keyword Master'!$C$5:$C$269,E19)</f>
        <v/>
      </c>
      <c r="G19" s="99">
        <f>SUMIF('Keyword Master'!$C$5:$C$269,E19,'Keyword Master'!$G$5:$G$269)</f>
        <v/>
      </c>
      <c r="H19" s="99">
        <f>IFERROR(ROUND(AVERAGEIF('Keyword Master'!$C$5:$C$269,E19,'Keyword Master'!$I$5:$I$269),0),"-")</f>
        <v/>
      </c>
      <c r="I19" s="99">
        <f>IFERROR(ROUND(AVERAGEIF('Keyword Master'!$C$5:$C$269,E19,'Keyword Master'!$L$5:$L$269),1),"-")</f>
        <v/>
      </c>
      <c r="J19" s="99">
        <f>COUNTIFS('Rank Tracker'!$C$5:$C$265,E19,'Rank Tracker'!$E$5:$E$265,"&gt;0",'Rank Tracker'!$E$5:$E$265,"&lt;=10")</f>
        <v/>
      </c>
    </row>
    <row r="20" ht="15" customHeight="1" s="54">
      <c r="B20" s="97" t="inlineStr">
        <is>
          <t>Blogs written</t>
        </is>
      </c>
      <c r="C20" s="98">
        <f>COUNTIF('Blog Pipeline'!L5:L69,"YES")</f>
        <v/>
      </c>
      <c r="E20" s="63" t="inlineStr">
        <is>
          <t>Long-tail Questions</t>
        </is>
      </c>
      <c r="F20" s="99">
        <f>COUNTIF('Keyword Master'!$C$5:$C$269,E20)</f>
        <v/>
      </c>
      <c r="G20" s="99">
        <f>SUMIF('Keyword Master'!$C$5:$C$269,E20,'Keyword Master'!$G$5:$G$269)</f>
        <v/>
      </c>
      <c r="H20" s="99">
        <f>IFERROR(ROUND(AVERAGEIF('Keyword Master'!$C$5:$C$269,E20,'Keyword Master'!$I$5:$I$269),0),"-")</f>
        <v/>
      </c>
      <c r="I20" s="99">
        <f>IFERROR(ROUND(AVERAGEIF('Keyword Master'!$C$5:$C$269,E20,'Keyword Master'!$L$5:$L$269),1),"-")</f>
        <v/>
      </c>
      <c r="J20" s="99">
        <f>COUNTIFS('Rank Tracker'!$C$5:$C$265,E20,'Rank Tracker'!$E$5:$E$265,"&gt;0",'Rank Tracker'!$E$5:$E$265,"&lt;=10")</f>
        <v/>
      </c>
    </row>
    <row r="21" ht="15" customHeight="1" s="54">
      <c r="B21" s="97" t="inlineStr">
        <is>
          <t>Blogs published</t>
        </is>
      </c>
      <c r="C21" s="98">
        <f>COUNTIF('Content Map'!I5:I69,"Published")</f>
        <v/>
      </c>
      <c r="E21" s="101" t="inlineStr">
        <is>
          <t>TOTAL</t>
        </is>
      </c>
      <c r="F21" s="102">
        <f>SUM(F7:F20)</f>
        <v/>
      </c>
      <c r="G21" s="102">
        <f>SUM(G7:G20)</f>
        <v/>
      </c>
      <c r="H21" s="103" t="n"/>
      <c r="I21" s="103" t="n"/>
      <c r="J21" s="102">
        <f>SUM(J7:J20)</f>
        <v/>
      </c>
    </row>
    <row r="22" ht="15" customHeight="1" s="54">
      <c r="B22" s="97" t="inlineStr">
        <is>
          <t>Total clicks logged</t>
        </is>
      </c>
      <c r="C22" s="98">
        <f>'Traffic &amp; Conversions'!E157</f>
        <v/>
      </c>
    </row>
    <row r="23" ht="15" customHeight="1" s="54">
      <c r="B23" s="97" t="inlineStr">
        <is>
          <t>Total enquiries logged</t>
        </is>
      </c>
      <c r="C23" s="98">
        <f>'Traffic &amp; Conversions'!H157</f>
        <v/>
      </c>
    </row>
    <row r="24" ht="15" customHeight="1" s="54">
      <c r="B24" s="97" t="inlineStr">
        <is>
          <t>Overall enquiry rate</t>
        </is>
      </c>
      <c r="C24" s="104">
        <f>IFERROR('Traffic &amp; Conversions'!H157/'Traffic &amp; Conversions'!E157,0)</f>
        <v/>
      </c>
    </row>
    <row r="26" ht="30" customHeight="1" s="54">
      <c r="B26" s="105" t="inlineStr">
        <is>
          <t>⚠ Rank data will stay empty until JHP has an owned website. See README and the SEO Strategy document.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2026-08-03T09:15:49Z</dcterms:created>
  <dcterms:modified xmlns:dcterms="http://purl.org/dc/terms/" xmlns:xsi="http://www.w3.org/2001/XMLSchema-instance" xsi:type="dcterms:W3CDTF">2026-08-13T07:15:58Z</dcterms:modified>
  <cp:revision>1</cp:revision>
</cp:coreProperties>
</file>